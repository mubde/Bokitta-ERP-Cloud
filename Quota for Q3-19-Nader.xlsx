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Team Drives\Bokitta Private\ERP\"/>
    </mc:Choice>
  </mc:AlternateContent>
  <xr:revisionPtr revIDLastSave="0" documentId="13_ncr:1_{3E35E687-9717-4C67-A093-FF272B4E470E}" xr6:coauthVersionLast="43" xr6:coauthVersionMax="43" xr10:uidLastSave="{00000000-0000-0000-0000-000000000000}"/>
  <bookViews>
    <workbookView xWindow="-120" yWindow="-120" windowWidth="29040" windowHeight="15840" xr2:uid="{65AE5D0E-57B9-4FD0-8BAB-5A7D564CB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M6" i="1" s="1"/>
  <c r="N6" i="1"/>
  <c r="O6" i="1"/>
  <c r="P6" i="1" s="1"/>
  <c r="K7" i="1"/>
  <c r="O7" i="1" s="1"/>
  <c r="M7" i="1"/>
  <c r="N7" i="1"/>
  <c r="K8" i="1"/>
  <c r="M8" i="1"/>
  <c r="N8" i="1"/>
  <c r="O8" i="1"/>
  <c r="P8" i="1"/>
  <c r="K9" i="1"/>
  <c r="M9" i="1" s="1"/>
  <c r="N9" i="1"/>
  <c r="K10" i="1"/>
  <c r="M10" i="1"/>
  <c r="N10" i="1"/>
  <c r="O10" i="1"/>
  <c r="P10" i="1" s="1"/>
  <c r="K11" i="1"/>
  <c r="M11" i="1"/>
  <c r="N11" i="1"/>
  <c r="O11" i="1" s="1"/>
  <c r="K12" i="1"/>
  <c r="O12" i="1" s="1"/>
  <c r="M12" i="1"/>
  <c r="N12" i="1"/>
  <c r="K13" i="1"/>
  <c r="M13" i="1" s="1"/>
  <c r="N13" i="1"/>
  <c r="O13" i="1"/>
  <c r="A13" i="1" s="1"/>
  <c r="P13" i="1"/>
  <c r="K14" i="1"/>
  <c r="M14" i="1" s="1"/>
  <c r="N14" i="1"/>
  <c r="O14" i="1"/>
  <c r="P14" i="1" s="1"/>
  <c r="K15" i="1"/>
  <c r="O15" i="1" s="1"/>
  <c r="M15" i="1"/>
  <c r="N15" i="1"/>
  <c r="K16" i="1"/>
  <c r="M16" i="1"/>
  <c r="N16" i="1"/>
  <c r="O16" i="1"/>
  <c r="P16" i="1"/>
  <c r="K17" i="1"/>
  <c r="M17" i="1" s="1"/>
  <c r="N17" i="1"/>
  <c r="K18" i="1"/>
  <c r="M18" i="1"/>
  <c r="N18" i="1"/>
  <c r="O18" i="1"/>
  <c r="P18" i="1" s="1"/>
  <c r="K19" i="1"/>
  <c r="M19" i="1"/>
  <c r="N19" i="1"/>
  <c r="O19" i="1" s="1"/>
  <c r="K20" i="1"/>
  <c r="O20" i="1" s="1"/>
  <c r="M20" i="1"/>
  <c r="N20" i="1"/>
  <c r="K21" i="1"/>
  <c r="M21" i="1" s="1"/>
  <c r="N21" i="1"/>
  <c r="O21" i="1"/>
  <c r="A21" i="1" s="1"/>
  <c r="P21" i="1"/>
  <c r="K22" i="1"/>
  <c r="M22" i="1" s="1"/>
  <c r="N22" i="1"/>
  <c r="O22" i="1"/>
  <c r="P22" i="1" s="1"/>
  <c r="K23" i="1"/>
  <c r="O23" i="1" s="1"/>
  <c r="M23" i="1"/>
  <c r="N23" i="1"/>
  <c r="K24" i="1"/>
  <c r="M24" i="1"/>
  <c r="N24" i="1"/>
  <c r="O24" i="1"/>
  <c r="P24" i="1"/>
  <c r="K25" i="1"/>
  <c r="M25" i="1" s="1"/>
  <c r="N25" i="1"/>
  <c r="K26" i="1"/>
  <c r="M26" i="1"/>
  <c r="N26" i="1"/>
  <c r="O26" i="1"/>
  <c r="P26" i="1" s="1"/>
  <c r="K27" i="1"/>
  <c r="M27" i="1"/>
  <c r="N27" i="1"/>
  <c r="O27" i="1" s="1"/>
  <c r="K28" i="1"/>
  <c r="O28" i="1" s="1"/>
  <c r="M28" i="1"/>
  <c r="N28" i="1"/>
  <c r="K29" i="1"/>
  <c r="M29" i="1" s="1"/>
  <c r="N29" i="1"/>
  <c r="O29" i="1"/>
  <c r="A29" i="1" s="1"/>
  <c r="P29" i="1"/>
  <c r="K30" i="1"/>
  <c r="M30" i="1" s="1"/>
  <c r="N30" i="1"/>
  <c r="O30" i="1"/>
  <c r="P30" i="1" s="1"/>
  <c r="K31" i="1"/>
  <c r="O31" i="1" s="1"/>
  <c r="M31" i="1"/>
  <c r="N31" i="1"/>
  <c r="K32" i="1"/>
  <c r="M32" i="1"/>
  <c r="N32" i="1"/>
  <c r="O32" i="1"/>
  <c r="P32" i="1"/>
  <c r="K33" i="1"/>
  <c r="M33" i="1" s="1"/>
  <c r="N33" i="1"/>
  <c r="K34" i="1"/>
  <c r="M34" i="1"/>
  <c r="N34" i="1"/>
  <c r="O34" i="1"/>
  <c r="P34" i="1" s="1"/>
  <c r="K35" i="1"/>
  <c r="O35" i="1" s="1"/>
  <c r="M35" i="1"/>
  <c r="N35" i="1"/>
  <c r="K36" i="1"/>
  <c r="O36" i="1" s="1"/>
  <c r="M36" i="1"/>
  <c r="N36" i="1"/>
  <c r="K37" i="1"/>
  <c r="M37" i="1" s="1"/>
  <c r="N37" i="1"/>
  <c r="O37" i="1"/>
  <c r="A37" i="1" s="1"/>
  <c r="P37" i="1"/>
  <c r="A4" i="1"/>
  <c r="A5" i="1"/>
  <c r="A6" i="1"/>
  <c r="A8" i="1"/>
  <c r="A14" i="1"/>
  <c r="A16" i="1"/>
  <c r="A22" i="1"/>
  <c r="A24" i="1"/>
  <c r="A30" i="1"/>
  <c r="A32" i="1"/>
  <c r="A20" i="1" l="1"/>
  <c r="P20" i="1"/>
  <c r="A19" i="1"/>
  <c r="P19" i="1"/>
  <c r="P15" i="1"/>
  <c r="A15" i="1"/>
  <c r="A11" i="1"/>
  <c r="P11" i="1"/>
  <c r="P7" i="1"/>
  <c r="A7" i="1"/>
  <c r="A36" i="1"/>
  <c r="P36" i="1"/>
  <c r="A12" i="1"/>
  <c r="P12" i="1"/>
  <c r="P35" i="1"/>
  <c r="A35" i="1"/>
  <c r="A27" i="1"/>
  <c r="P27" i="1"/>
  <c r="P23" i="1"/>
  <c r="A23" i="1"/>
  <c r="P31" i="1"/>
  <c r="A31" i="1"/>
  <c r="A28" i="1"/>
  <c r="P28" i="1"/>
  <c r="A26" i="1"/>
  <c r="A34" i="1"/>
  <c r="A18" i="1"/>
  <c r="O33" i="1"/>
  <c r="O25" i="1"/>
  <c r="O17" i="1"/>
  <c r="O9" i="1"/>
  <c r="A10" i="1"/>
  <c r="A47" i="1"/>
  <c r="A48" i="1"/>
  <c r="A49" i="1"/>
  <c r="A50" i="1"/>
  <c r="A51" i="1"/>
  <c r="A52" i="1"/>
  <c r="P9" i="1" l="1"/>
  <c r="A9" i="1"/>
  <c r="P17" i="1"/>
  <c r="A17" i="1"/>
  <c r="P25" i="1"/>
  <c r="A25" i="1"/>
  <c r="P33" i="1"/>
  <c r="A33" i="1"/>
  <c r="N45" i="1"/>
  <c r="L45" i="1"/>
  <c r="L54" i="1" s="1"/>
  <c r="K45" i="1"/>
  <c r="N44" i="1"/>
  <c r="K44" i="1"/>
  <c r="M44" i="1" s="1"/>
  <c r="N43" i="1"/>
  <c r="K43" i="1"/>
  <c r="M43" i="1" s="1"/>
  <c r="N42" i="1"/>
  <c r="K42" i="1"/>
  <c r="M42" i="1" s="1"/>
  <c r="N41" i="1"/>
  <c r="K41" i="1"/>
  <c r="M41" i="1" s="1"/>
  <c r="N40" i="1"/>
  <c r="K40" i="1"/>
  <c r="M40" i="1" s="1"/>
  <c r="N39" i="1"/>
  <c r="K39" i="1"/>
  <c r="M39" i="1" s="1"/>
  <c r="N38" i="1"/>
  <c r="K38" i="1"/>
  <c r="M38" i="1" s="1"/>
  <c r="N5" i="1"/>
  <c r="K5" i="1"/>
  <c r="M5" i="1" s="1"/>
  <c r="N4" i="1"/>
  <c r="N54" i="1" s="1"/>
  <c r="K4" i="1"/>
  <c r="M45" i="1" l="1"/>
  <c r="O40" i="1"/>
  <c r="O38" i="1"/>
  <c r="O41" i="1"/>
  <c r="O43" i="1"/>
  <c r="O4" i="1"/>
  <c r="O42" i="1"/>
  <c r="O45" i="1"/>
  <c r="O39" i="1"/>
  <c r="O44" i="1"/>
  <c r="M4" i="1"/>
  <c r="O5" i="1"/>
  <c r="O54" i="1" l="1"/>
  <c r="M54" i="1"/>
  <c r="P40" i="1"/>
  <c r="A40" i="1"/>
  <c r="P38" i="1"/>
  <c r="A38" i="1"/>
  <c r="P43" i="1"/>
  <c r="A43" i="1"/>
  <c r="P45" i="1"/>
  <c r="A45" i="1"/>
  <c r="A46" i="1"/>
  <c r="P42" i="1"/>
  <c r="A42" i="1"/>
  <c r="P44" i="1"/>
  <c r="A44" i="1"/>
  <c r="P39" i="1"/>
  <c r="A39" i="1"/>
  <c r="P41" i="1"/>
  <c r="A41" i="1"/>
  <c r="P5" i="1"/>
  <c r="P4" i="1"/>
  <c r="P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tc={226F138A-81B0-4E9E-A892-E02F7E060F22}</author>
    <author>tc={4FB3E91D-CC78-4A0A-8B72-3CD5EEBF11B3}</author>
    <author>tc={1BB4D243-8D17-43EE-BFB0-E433510F66ED}</author>
    <author>tc={6DD67B2F-46D6-41DB-BB09-A5AC02D7650E}</author>
    <author>tc={6B3AF986-5746-454F-97DD-4CAB8EFD268A}</author>
    <author>tc={4555360A-F443-4D7A-BBBC-008A3460F711}</author>
    <author>tc={98CA28B6-2997-4569-8C88-82EA27CEB0A8}</author>
    <author>tc={07195744-28E2-4B46-A781-0AF66923568A}</author>
    <author>tc={09567993-D619-49CC-8988-6D98A1EE6E4B}</author>
    <author>tc={9E489BC4-1BDC-4DDF-AAC4-A0D9E22D454F}</author>
    <author>tc={B417B57C-48E4-4FC6-BCE2-9BCB43A20656}</author>
    <author>tc={12D4E024-BA94-43D2-BAA8-ABF01CC253F8}</author>
    <author>tc={D445F6E7-49BD-4082-AE0D-2939EFE89FF2}</author>
  </authors>
  <commentList>
    <comment ref="C5" authorId="0" shapeId="0" xr:uid="{226F138A-81B0-4E9E-A892-E02F7E060F2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ratio</t>
      </text>
    </comment>
    <comment ref="C6" authorId="1" shapeId="0" xr:uid="{4FB3E91D-CC78-4A0A-8B72-3CD5EEBF11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quota and changed ratio</t>
      </text>
    </comment>
    <comment ref="C7" authorId="2" shapeId="0" xr:uid="{1BB4D243-8D17-43EE-BFB0-E433510F66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8" authorId="3" shapeId="0" xr:uid="{6DD67B2F-46D6-41DB-BB09-A5AC02D765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9" authorId="4" shapeId="0" xr:uid="{6B3AF986-5746-454F-97DD-4CAB8EFD2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11" authorId="5" shapeId="0" xr:uid="{4555360A-F443-4D7A-BBBC-008A3460F7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12" authorId="6" shapeId="0" xr:uid="{98CA28B6-2997-4569-8C88-82EA27CEB0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13" authorId="7" shapeId="0" xr:uid="{07195744-28E2-4B46-A781-0AF669235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15" authorId="8" shapeId="0" xr:uid="{09567993-D619-49CC-8988-6D98A1EE6E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decreased quota</t>
      </text>
    </comment>
    <comment ref="R17" authorId="9" shapeId="0" xr:uid="{9E489BC4-1BDC-4DDF-AAC4-A0D9E22D454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for basics</t>
      </text>
    </comment>
    <comment ref="C18" authorId="10" shapeId="0" xr:uid="{B417B57C-48E4-4FC6-BCE2-9BCB43A206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19" authorId="11" shapeId="0" xr:uid="{12D4E024-BA94-43D2-BAA8-ABF01CC253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  <comment ref="C21" authorId="12" shapeId="0" xr:uid="{D445F6E7-49BD-4082-AE0D-2939EFE89F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quota</t>
      </text>
    </comment>
  </commentList>
</comments>
</file>

<file path=xl/sharedStrings.xml><?xml version="1.0" encoding="utf-8"?>
<sst xmlns="http://schemas.openxmlformats.org/spreadsheetml/2006/main" count="116" uniqueCount="113">
  <si>
    <t>Folder</t>
  </si>
  <si>
    <t>Resellers</t>
  </si>
  <si>
    <t>m2,m6,m12,m12m,m19,m19m</t>
  </si>
  <si>
    <t>M2</t>
  </si>
  <si>
    <t>M6</t>
  </si>
  <si>
    <t>M12</t>
  </si>
  <si>
    <t>M12m</t>
  </si>
  <si>
    <t>M19</t>
  </si>
  <si>
    <t>M19m</t>
  </si>
  <si>
    <t>Quota</t>
  </si>
  <si>
    <t>ID</t>
  </si>
  <si>
    <t>NickName</t>
  </si>
  <si>
    <t>IncludeQuotaBasics</t>
  </si>
  <si>
    <t>TotalAllStyles</t>
  </si>
  <si>
    <t>Items/Qtr</t>
  </si>
  <si>
    <t>Total/Qtr</t>
  </si>
  <si>
    <t>QtrSales</t>
  </si>
  <si>
    <t>BM</t>
  </si>
  <si>
    <t>BokittaMalaysia</t>
  </si>
  <si>
    <t>BI</t>
  </si>
  <si>
    <t>BokittaInsta</t>
  </si>
  <si>
    <t>QA</t>
  </si>
  <si>
    <t>QurrataAin</t>
  </si>
  <si>
    <t>BB</t>
  </si>
  <si>
    <t>BOKITTABORNEO</t>
  </si>
  <si>
    <t>BH</t>
  </si>
  <si>
    <t>BokittaHijabista</t>
  </si>
  <si>
    <t>GM</t>
  </si>
  <si>
    <t>GoldenMU</t>
  </si>
  <si>
    <t>WC</t>
  </si>
  <si>
    <t>WomenConnection</t>
  </si>
  <si>
    <t>BA</t>
  </si>
  <si>
    <t>BokittaAsia</t>
  </si>
  <si>
    <t>BR</t>
  </si>
  <si>
    <t>Hqube</t>
  </si>
  <si>
    <t>FC</t>
  </si>
  <si>
    <t>FilzCloset</t>
  </si>
  <si>
    <t>LW</t>
  </si>
  <si>
    <t>LuqluqWear</t>
  </si>
  <si>
    <t>BK</t>
  </si>
  <si>
    <t>Bokittakuching</t>
  </si>
  <si>
    <t>CF</t>
  </si>
  <si>
    <t>CINDYFANAH</t>
  </si>
  <si>
    <t>BHQ</t>
  </si>
  <si>
    <t>BokittaBeirut</t>
  </si>
  <si>
    <t>BC</t>
  </si>
  <si>
    <t>Basyirah</t>
  </si>
  <si>
    <t>UBC</t>
  </si>
  <si>
    <t>UnoBoutique</t>
  </si>
  <si>
    <t>NC</t>
  </si>
  <si>
    <t>Neesya</t>
  </si>
  <si>
    <t>SBI</t>
  </si>
  <si>
    <t>SBINet</t>
  </si>
  <si>
    <t>AE</t>
  </si>
  <si>
    <t>Ayraesb</t>
  </si>
  <si>
    <t>ST</t>
  </si>
  <si>
    <t>Syahera</t>
  </si>
  <si>
    <t>NU</t>
  </si>
  <si>
    <t>Nusada</t>
  </si>
  <si>
    <t>NC1</t>
  </si>
  <si>
    <t>Neesya1</t>
  </si>
  <si>
    <t>NC2</t>
  </si>
  <si>
    <t>Neesya2</t>
  </si>
  <si>
    <t>NC3</t>
  </si>
  <si>
    <t>Neesya3</t>
  </si>
  <si>
    <t>BR1</t>
  </si>
  <si>
    <t>Hqube1</t>
  </si>
  <si>
    <t>UBC1</t>
  </si>
  <si>
    <t>UnoBoutique1</t>
  </si>
  <si>
    <t>UBC2</t>
  </si>
  <si>
    <t>UnoBoutique2</t>
  </si>
  <si>
    <t>BH1</t>
  </si>
  <si>
    <t>BokittaHijabista1</t>
  </si>
  <si>
    <t>FC1</t>
  </si>
  <si>
    <t>FilzCloset1</t>
  </si>
  <si>
    <t>BT</t>
  </si>
  <si>
    <t>BabyTwinkle</t>
  </si>
  <si>
    <t>NR</t>
  </si>
  <si>
    <t>Nadjwa</t>
  </si>
  <si>
    <t>BJ</t>
  </si>
  <si>
    <t>Bakka</t>
  </si>
  <si>
    <t>AFD</t>
  </si>
  <si>
    <t>Almustakbal</t>
  </si>
  <si>
    <t>SQKB</t>
  </si>
  <si>
    <t>Sequins</t>
  </si>
  <si>
    <t>IFW</t>
  </si>
  <si>
    <t>BSG</t>
  </si>
  <si>
    <t>BokittaSG</t>
  </si>
  <si>
    <t>MK</t>
  </si>
  <si>
    <t>Mokhminah</t>
  </si>
  <si>
    <t>AA</t>
  </si>
  <si>
    <t>MidKollections</t>
  </si>
  <si>
    <t>IDK</t>
  </si>
  <si>
    <t>ID Kuwait</t>
  </si>
  <si>
    <t>BokittaBonita</t>
  </si>
  <si>
    <t>BV</t>
  </si>
  <si>
    <t>BokittaVoila</t>
  </si>
  <si>
    <t>DM</t>
  </si>
  <si>
    <t>DMEA</t>
  </si>
  <si>
    <t>IDU</t>
  </si>
  <si>
    <t>ID Uganda</t>
  </si>
  <si>
    <t>KS</t>
  </si>
  <si>
    <t>Kenza</t>
  </si>
  <si>
    <t>BHQ1</t>
  </si>
  <si>
    <t>BM1</t>
  </si>
  <si>
    <t>BokittaMalaysia1</t>
  </si>
  <si>
    <t>BokittaBeirut1</t>
  </si>
  <si>
    <t>Zalora</t>
  </si>
  <si>
    <t>Items/Rel</t>
  </si>
  <si>
    <t>za</t>
  </si>
  <si>
    <t>NM</t>
  </si>
  <si>
    <t>Nicematch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</si>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</sst>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der Dalbani" id="{6A1EE749-A0F6-4144-8194-E1846243E556}" userId="6f7d4919263edfd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19-02-16T09:56:49.98" personId="{6A1EE749-A0F6-4144-8194-E1846243E556}" id="{226F138A-81B0-4E9E-A892-E02F7E060F22}">
    <text>changed ratio</text>
  </threadedComment>
  <threadedComment ref="C6" dT="2019-02-16T09:57:06.93" personId="{6A1EE749-A0F6-4144-8194-E1846243E556}" id="{4FB3E91D-CC78-4A0A-8B72-3CD5EEBF11B3}">
    <text>increased quota and changed ratio</text>
  </threadedComment>
  <threadedComment ref="C7" dT="2019-02-16T09:57:16.03" personId="{6A1EE749-A0F6-4144-8194-E1846243E556}" id="{1BB4D243-8D17-43EE-BFB0-E433510F66ED}">
    <text>reduced quota</text>
  </threadedComment>
  <threadedComment ref="C8" dT="2019-02-18T15:18:19.61" personId="{6A1EE749-A0F6-4144-8194-E1846243E556}" id="{6DD67B2F-46D6-41DB-BB09-A5AC02D7650E}">
    <text>reduced quota</text>
  </threadedComment>
  <threadedComment ref="C9" dT="2019-02-20T07:02:42.16" personId="{6A1EE749-A0F6-4144-8194-E1846243E556}" id="{6B3AF986-5746-454F-97DD-4CAB8EFD268A}">
    <text>reduced quota</text>
  </threadedComment>
  <threadedComment ref="C11" dT="2019-02-19T11:32:49.99" personId="{6A1EE749-A0F6-4144-8194-E1846243E556}" id="{4555360A-F443-4D7A-BBBC-008A3460F711}">
    <text>reduced quota</text>
  </threadedComment>
  <threadedComment ref="C12" dT="2019-02-16T10:00:32.75" personId="{6A1EE749-A0F6-4144-8194-E1846243E556}" id="{98CA28B6-2997-4569-8C88-82EA27CEB0A8}">
    <text>reduced quota</text>
  </threadedComment>
  <threadedComment ref="C13" dT="2019-02-16T10:00:51.02" personId="{6A1EE749-A0F6-4144-8194-E1846243E556}" id="{07195744-28E2-4B46-A781-0AF66923568A}">
    <text>reduced quota</text>
  </threadedComment>
  <threadedComment ref="C15" dT="2019-02-16T10:01:43.89" personId="{6A1EE749-A0F6-4144-8194-E1846243E556}" id="{09567993-D619-49CC-8988-6D98A1EE6E4B}">
    <text>decreased quota</text>
  </threadedComment>
  <threadedComment ref="R17" dT="2019-04-15T08:19:20.19" personId="{6A1EE749-A0F6-4144-8194-E1846243E556}" id="{9E489BC4-1BDC-4DDF-AAC4-A0D9E22D454F}">
    <text>numbers for basics</text>
  </threadedComment>
  <threadedComment ref="C18" dT="2019-03-05T09:36:02.46" personId="{6A1EE749-A0F6-4144-8194-E1846243E556}" id="{B417B57C-48E4-4FC6-BCE2-9BCB43A20656}">
    <text>reduced quota</text>
  </threadedComment>
  <threadedComment ref="C19" dT="2019-02-16T10:19:59.46" personId="{6A1EE749-A0F6-4144-8194-E1846243E556}" id="{12D4E024-BA94-43D2-BAA8-ABF01CC253F8}">
    <text>reduced quota</text>
  </threadedComment>
  <threadedComment ref="C21" dT="2019-02-18T13:40:53.76" personId="{6A1EE749-A0F6-4144-8194-E1846243E556}" id="{D445F6E7-49BD-4082-AE0D-2939EFE89FF2}">
    <text>reduced quota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E724-F8FB-41EF-8631-24AF39682AD5}">
  <sheetPr codeName="Sheet1"/>
  <dimension ref="A1:T54"/>
  <sheetViews>
    <sheetView tabSelected="1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5" sqref="I5"/>
    </sheetView>
  </sheetViews>
  <sheetFormatPr defaultRowHeight="15" x14ac:dyDescent="0.25"/>
  <cols>
    <col min="3" max="3" width="18.42578125" bestFit="1" customWidth="1"/>
  </cols>
  <sheetData>
    <row r="1" spans="1:16" x14ac:dyDescent="0.25">
      <c r="A1" t="s">
        <v>0</v>
      </c>
      <c r="B1" t="s">
        <v>1</v>
      </c>
      <c r="C1">
        <v>2500</v>
      </c>
      <c r="D1" t="s">
        <v>2</v>
      </c>
    </row>
    <row r="2" spans="1:16" x14ac:dyDescent="0.25">
      <c r="C2">
        <v>8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16" x14ac:dyDescent="0.25">
      <c r="A3" t="s">
        <v>9</v>
      </c>
      <c r="B3" t="s">
        <v>10</v>
      </c>
      <c r="C3" t="s">
        <v>11</v>
      </c>
      <c r="J3" t="s">
        <v>12</v>
      </c>
      <c r="K3" t="s">
        <v>13</v>
      </c>
      <c r="L3" t="s">
        <v>108</v>
      </c>
      <c r="M3" t="s">
        <v>15</v>
      </c>
      <c r="N3" t="s">
        <v>14</v>
      </c>
      <c r="O3" t="s">
        <v>15</v>
      </c>
      <c r="P3" t="s">
        <v>16</v>
      </c>
    </row>
    <row r="4" spans="1:16" x14ac:dyDescent="0.25">
      <c r="A4">
        <f t="shared" ref="A4:A52" si="0">O4</f>
        <v>480</v>
      </c>
      <c r="B4" t="s">
        <v>17</v>
      </c>
      <c r="C4" t="s">
        <v>18</v>
      </c>
      <c r="D4">
        <v>5</v>
      </c>
      <c r="E4">
        <v>5</v>
      </c>
      <c r="F4">
        <v>0</v>
      </c>
      <c r="G4">
        <v>0</v>
      </c>
      <c r="H4" s="1">
        <v>0</v>
      </c>
      <c r="I4" s="1">
        <v>0</v>
      </c>
      <c r="J4">
        <v>1</v>
      </c>
      <c r="K4">
        <f>SUM(D4:G4)</f>
        <v>10</v>
      </c>
      <c r="L4">
        <v>6</v>
      </c>
      <c r="M4">
        <f t="shared" ref="M4:M6" si="1">K4*L4</f>
        <v>60</v>
      </c>
      <c r="N4">
        <f>12*3+12</f>
        <v>48</v>
      </c>
      <c r="O4">
        <f>K4*N4</f>
        <v>480</v>
      </c>
      <c r="P4">
        <f>O4*10</f>
        <v>4800</v>
      </c>
    </row>
    <row r="5" spans="1:16" x14ac:dyDescent="0.25">
      <c r="A5">
        <f t="shared" si="0"/>
        <v>21600</v>
      </c>
      <c r="B5" t="s">
        <v>19</v>
      </c>
      <c r="C5" t="s">
        <v>20</v>
      </c>
      <c r="D5">
        <v>80</v>
      </c>
      <c r="E5">
        <v>250</v>
      </c>
      <c r="F5">
        <v>100</v>
      </c>
      <c r="G5">
        <v>20</v>
      </c>
      <c r="H5" s="1">
        <v>30</v>
      </c>
      <c r="I5" s="1">
        <v>30</v>
      </c>
      <c r="J5">
        <v>1</v>
      </c>
      <c r="K5">
        <f t="shared" ref="K5:K45" si="2">SUM(D5:G5)</f>
        <v>450</v>
      </c>
      <c r="L5">
        <v>6</v>
      </c>
      <c r="M5">
        <f t="shared" si="1"/>
        <v>2700</v>
      </c>
      <c r="N5">
        <f t="shared" ref="L5:N45" si="3">12*3+12</f>
        <v>48</v>
      </c>
      <c r="O5">
        <f>K5*N5</f>
        <v>21600</v>
      </c>
      <c r="P5">
        <f t="shared" ref="P5:P45" si="4">O5*10</f>
        <v>216000</v>
      </c>
    </row>
    <row r="6" spans="1:16" x14ac:dyDescent="0.25">
      <c r="A6">
        <f t="shared" si="0"/>
        <v>26400</v>
      </c>
      <c r="B6" t="s">
        <v>21</v>
      </c>
      <c r="C6" t="s">
        <v>22</v>
      </c>
      <c r="D6">
        <v>140</v>
      </c>
      <c r="E6">
        <v>300</v>
      </c>
      <c r="F6">
        <v>80</v>
      </c>
      <c r="G6">
        <v>30</v>
      </c>
      <c r="H6" s="1">
        <v>20</v>
      </c>
      <c r="I6" s="1">
        <v>20</v>
      </c>
      <c r="J6">
        <v>1</v>
      </c>
      <c r="K6">
        <f t="shared" si="2"/>
        <v>550</v>
      </c>
      <c r="L6">
        <v>6</v>
      </c>
      <c r="M6">
        <f t="shared" ref="M6:M37" si="5">K6*L6</f>
        <v>3300</v>
      </c>
      <c r="N6">
        <f t="shared" si="3"/>
        <v>48</v>
      </c>
      <c r="O6">
        <f t="shared" ref="O6:O37" si="6">K6*N6</f>
        <v>26400</v>
      </c>
      <c r="P6">
        <f t="shared" si="4"/>
        <v>264000</v>
      </c>
    </row>
    <row r="7" spans="1:16" x14ac:dyDescent="0.25">
      <c r="A7">
        <f t="shared" si="0"/>
        <v>5280</v>
      </c>
      <c r="B7" t="s">
        <v>23</v>
      </c>
      <c r="C7" t="s">
        <v>24</v>
      </c>
      <c r="D7">
        <v>30</v>
      </c>
      <c r="E7">
        <v>50</v>
      </c>
      <c r="F7">
        <v>20</v>
      </c>
      <c r="G7">
        <v>10</v>
      </c>
      <c r="H7">
        <v>30</v>
      </c>
      <c r="I7">
        <v>30</v>
      </c>
      <c r="J7">
        <v>1</v>
      </c>
      <c r="K7">
        <f t="shared" ref="K7:K37" si="7">SUM(D7:G7)</f>
        <v>110</v>
      </c>
      <c r="L7">
        <v>6</v>
      </c>
      <c r="M7">
        <f t="shared" si="5"/>
        <v>660</v>
      </c>
      <c r="N7">
        <f t="shared" si="3"/>
        <v>48</v>
      </c>
      <c r="O7">
        <f t="shared" si="6"/>
        <v>5280</v>
      </c>
      <c r="P7">
        <f t="shared" ref="P7:P37" si="8">O7*10</f>
        <v>52800</v>
      </c>
    </row>
    <row r="8" spans="1:16" x14ac:dyDescent="0.25">
      <c r="A8">
        <f t="shared" si="0"/>
        <v>10560</v>
      </c>
      <c r="B8" t="s">
        <v>25</v>
      </c>
      <c r="C8" t="s">
        <v>26</v>
      </c>
      <c r="D8">
        <v>40</v>
      </c>
      <c r="E8">
        <v>120</v>
      </c>
      <c r="F8">
        <v>40</v>
      </c>
      <c r="G8">
        <v>20</v>
      </c>
      <c r="H8" s="1">
        <v>30</v>
      </c>
      <c r="I8" s="1">
        <v>30</v>
      </c>
      <c r="J8">
        <v>1</v>
      </c>
      <c r="K8">
        <f t="shared" si="7"/>
        <v>220</v>
      </c>
      <c r="L8">
        <v>6</v>
      </c>
      <c r="M8">
        <f t="shared" si="5"/>
        <v>1320</v>
      </c>
      <c r="N8">
        <f t="shared" si="3"/>
        <v>48</v>
      </c>
      <c r="O8">
        <f t="shared" si="6"/>
        <v>10560</v>
      </c>
      <c r="P8">
        <f t="shared" si="8"/>
        <v>105600</v>
      </c>
    </row>
    <row r="9" spans="1:16" s="3" customFormat="1" x14ac:dyDescent="0.25">
      <c r="A9">
        <f t="shared" si="0"/>
        <v>4800</v>
      </c>
      <c r="B9" s="3" t="s">
        <v>27</v>
      </c>
      <c r="C9" s="3" t="s">
        <v>28</v>
      </c>
      <c r="D9" s="3">
        <v>20</v>
      </c>
      <c r="E9" s="3">
        <v>50</v>
      </c>
      <c r="F9" s="3">
        <v>20</v>
      </c>
      <c r="G9" s="3">
        <v>10</v>
      </c>
      <c r="H9" s="1">
        <v>40</v>
      </c>
      <c r="I9" s="1">
        <v>20</v>
      </c>
      <c r="J9">
        <v>1</v>
      </c>
      <c r="K9">
        <f t="shared" si="7"/>
        <v>100</v>
      </c>
      <c r="L9">
        <v>6</v>
      </c>
      <c r="M9">
        <f t="shared" si="5"/>
        <v>600</v>
      </c>
      <c r="N9">
        <f t="shared" si="3"/>
        <v>48</v>
      </c>
      <c r="O9">
        <f t="shared" si="6"/>
        <v>4800</v>
      </c>
      <c r="P9">
        <f t="shared" si="8"/>
        <v>48000</v>
      </c>
    </row>
    <row r="10" spans="1:16" x14ac:dyDescent="0.25">
      <c r="A10">
        <f t="shared" si="0"/>
        <v>5040</v>
      </c>
      <c r="B10" t="s">
        <v>29</v>
      </c>
      <c r="C10" t="s">
        <v>30</v>
      </c>
      <c r="D10">
        <v>20</v>
      </c>
      <c r="E10">
        <v>50</v>
      </c>
      <c r="F10">
        <v>25</v>
      </c>
      <c r="G10">
        <v>10</v>
      </c>
      <c r="H10" s="1">
        <v>20</v>
      </c>
      <c r="I10" s="1">
        <v>20</v>
      </c>
      <c r="J10">
        <v>1</v>
      </c>
      <c r="K10">
        <f t="shared" si="7"/>
        <v>105</v>
      </c>
      <c r="L10">
        <v>6</v>
      </c>
      <c r="M10">
        <f t="shared" si="5"/>
        <v>630</v>
      </c>
      <c r="N10">
        <f t="shared" si="3"/>
        <v>48</v>
      </c>
      <c r="O10">
        <f t="shared" si="6"/>
        <v>5040</v>
      </c>
      <c r="P10">
        <f t="shared" si="8"/>
        <v>50400</v>
      </c>
    </row>
    <row r="11" spans="1:16" x14ac:dyDescent="0.25">
      <c r="A11">
        <f t="shared" si="0"/>
        <v>10560</v>
      </c>
      <c r="B11" t="s">
        <v>31</v>
      </c>
      <c r="C11" t="s">
        <v>32</v>
      </c>
      <c r="D11">
        <v>40</v>
      </c>
      <c r="E11">
        <v>130</v>
      </c>
      <c r="F11">
        <v>40</v>
      </c>
      <c r="G11">
        <v>10</v>
      </c>
      <c r="H11" s="1">
        <v>50</v>
      </c>
      <c r="I11" s="1">
        <v>50</v>
      </c>
      <c r="J11">
        <v>1</v>
      </c>
      <c r="K11">
        <f t="shared" si="7"/>
        <v>220</v>
      </c>
      <c r="L11">
        <v>6</v>
      </c>
      <c r="M11">
        <f t="shared" si="5"/>
        <v>1320</v>
      </c>
      <c r="N11">
        <f t="shared" si="3"/>
        <v>48</v>
      </c>
      <c r="O11">
        <f t="shared" si="6"/>
        <v>10560</v>
      </c>
      <c r="P11">
        <f t="shared" si="8"/>
        <v>105600</v>
      </c>
    </row>
    <row r="12" spans="1:16" x14ac:dyDescent="0.25">
      <c r="A12">
        <f t="shared" si="0"/>
        <v>5760</v>
      </c>
      <c r="B12" t="s">
        <v>33</v>
      </c>
      <c r="C12" t="s">
        <v>34</v>
      </c>
      <c r="D12">
        <v>20</v>
      </c>
      <c r="E12">
        <v>70</v>
      </c>
      <c r="F12">
        <v>20</v>
      </c>
      <c r="G12">
        <v>10</v>
      </c>
      <c r="H12" s="1">
        <v>30</v>
      </c>
      <c r="I12" s="1">
        <v>20</v>
      </c>
      <c r="J12">
        <v>1</v>
      </c>
      <c r="K12">
        <f t="shared" si="7"/>
        <v>120</v>
      </c>
      <c r="L12">
        <v>6</v>
      </c>
      <c r="M12">
        <f t="shared" si="5"/>
        <v>720</v>
      </c>
      <c r="N12">
        <f t="shared" si="3"/>
        <v>48</v>
      </c>
      <c r="O12">
        <f t="shared" si="6"/>
        <v>5760</v>
      </c>
      <c r="P12">
        <f t="shared" si="8"/>
        <v>57600</v>
      </c>
    </row>
    <row r="13" spans="1:16" x14ac:dyDescent="0.25">
      <c r="A13">
        <f t="shared" si="0"/>
        <v>9600</v>
      </c>
      <c r="B13" t="s">
        <v>35</v>
      </c>
      <c r="C13" t="s">
        <v>36</v>
      </c>
      <c r="D13">
        <v>40</v>
      </c>
      <c r="E13">
        <v>100</v>
      </c>
      <c r="F13">
        <v>40</v>
      </c>
      <c r="G13">
        <v>20</v>
      </c>
      <c r="H13" s="1">
        <v>50</v>
      </c>
      <c r="I13" s="1">
        <v>50</v>
      </c>
      <c r="J13">
        <v>1</v>
      </c>
      <c r="K13">
        <f t="shared" si="7"/>
        <v>200</v>
      </c>
      <c r="L13">
        <v>6</v>
      </c>
      <c r="M13">
        <f t="shared" si="5"/>
        <v>1200</v>
      </c>
      <c r="N13">
        <f t="shared" si="3"/>
        <v>48</v>
      </c>
      <c r="O13">
        <f t="shared" si="6"/>
        <v>9600</v>
      </c>
      <c r="P13">
        <f t="shared" si="8"/>
        <v>96000</v>
      </c>
    </row>
    <row r="14" spans="1:16" x14ac:dyDescent="0.25">
      <c r="A14">
        <f t="shared" si="0"/>
        <v>4800</v>
      </c>
      <c r="B14" t="s">
        <v>37</v>
      </c>
      <c r="C14" t="s">
        <v>38</v>
      </c>
      <c r="D14">
        <v>20</v>
      </c>
      <c r="E14">
        <v>40</v>
      </c>
      <c r="F14">
        <v>30</v>
      </c>
      <c r="G14">
        <v>10</v>
      </c>
      <c r="H14" s="1">
        <v>20</v>
      </c>
      <c r="I14" s="1">
        <v>20</v>
      </c>
      <c r="J14">
        <v>1</v>
      </c>
      <c r="K14">
        <f t="shared" si="7"/>
        <v>100</v>
      </c>
      <c r="L14">
        <v>6</v>
      </c>
      <c r="M14">
        <f t="shared" si="5"/>
        <v>600</v>
      </c>
      <c r="N14">
        <f t="shared" si="3"/>
        <v>48</v>
      </c>
      <c r="O14">
        <f t="shared" si="6"/>
        <v>4800</v>
      </c>
      <c r="P14">
        <f t="shared" si="8"/>
        <v>48000</v>
      </c>
    </row>
    <row r="15" spans="1:16" x14ac:dyDescent="0.25">
      <c r="A15">
        <f t="shared" si="0"/>
        <v>5280</v>
      </c>
      <c r="B15" t="s">
        <v>39</v>
      </c>
      <c r="C15" t="s">
        <v>40</v>
      </c>
      <c r="D15">
        <v>30</v>
      </c>
      <c r="E15">
        <v>50</v>
      </c>
      <c r="F15">
        <v>20</v>
      </c>
      <c r="G15">
        <v>10</v>
      </c>
      <c r="H15" s="1">
        <v>10</v>
      </c>
      <c r="I15" s="1">
        <v>10</v>
      </c>
      <c r="J15">
        <v>1</v>
      </c>
      <c r="K15">
        <f t="shared" si="7"/>
        <v>110</v>
      </c>
      <c r="L15">
        <v>6</v>
      </c>
      <c r="M15">
        <f t="shared" si="5"/>
        <v>660</v>
      </c>
      <c r="N15">
        <f t="shared" si="3"/>
        <v>48</v>
      </c>
      <c r="O15">
        <f t="shared" si="6"/>
        <v>5280</v>
      </c>
      <c r="P15">
        <f t="shared" si="8"/>
        <v>52800</v>
      </c>
    </row>
    <row r="16" spans="1:16" x14ac:dyDescent="0.25">
      <c r="A16">
        <f t="shared" si="0"/>
        <v>0</v>
      </c>
      <c r="B16" t="s">
        <v>41</v>
      </c>
      <c r="C16" t="s">
        <v>42</v>
      </c>
      <c r="D16">
        <v>0</v>
      </c>
      <c r="E16">
        <v>0</v>
      </c>
      <c r="F16">
        <v>0</v>
      </c>
      <c r="G16">
        <v>0</v>
      </c>
      <c r="H16" s="1">
        <v>0</v>
      </c>
      <c r="I16" s="1">
        <v>0</v>
      </c>
      <c r="J16">
        <v>1</v>
      </c>
      <c r="K16">
        <f t="shared" si="7"/>
        <v>0</v>
      </c>
      <c r="L16">
        <v>6</v>
      </c>
      <c r="M16">
        <f t="shared" si="5"/>
        <v>0</v>
      </c>
      <c r="N16">
        <f t="shared" si="3"/>
        <v>48</v>
      </c>
      <c r="O16">
        <f t="shared" si="6"/>
        <v>0</v>
      </c>
      <c r="P16">
        <f t="shared" si="8"/>
        <v>0</v>
      </c>
    </row>
    <row r="17" spans="1:20" x14ac:dyDescent="0.25">
      <c r="A17">
        <f t="shared" si="0"/>
        <v>5760</v>
      </c>
      <c r="B17" t="s">
        <v>43</v>
      </c>
      <c r="C17" t="s">
        <v>44</v>
      </c>
      <c r="D17">
        <v>30</v>
      </c>
      <c r="E17">
        <v>70</v>
      </c>
      <c r="F17">
        <v>20</v>
      </c>
      <c r="G17">
        <v>0</v>
      </c>
      <c r="H17" s="1">
        <v>10</v>
      </c>
      <c r="I17" s="1">
        <v>10</v>
      </c>
      <c r="J17">
        <v>1</v>
      </c>
      <c r="K17">
        <f t="shared" si="7"/>
        <v>120</v>
      </c>
      <c r="L17">
        <v>6</v>
      </c>
      <c r="M17">
        <f t="shared" si="5"/>
        <v>720</v>
      </c>
      <c r="N17">
        <f t="shared" si="3"/>
        <v>48</v>
      </c>
      <c r="O17">
        <f t="shared" si="6"/>
        <v>5760</v>
      </c>
      <c r="P17">
        <f t="shared" si="8"/>
        <v>57600</v>
      </c>
      <c r="R17" s="2">
        <v>50</v>
      </c>
      <c r="S17" s="2">
        <v>120</v>
      </c>
      <c r="T17" s="2">
        <v>50</v>
      </c>
    </row>
    <row r="18" spans="1:20" x14ac:dyDescent="0.25">
      <c r="A18">
        <f t="shared" si="0"/>
        <v>5280</v>
      </c>
      <c r="B18" t="s">
        <v>45</v>
      </c>
      <c r="C18" t="s">
        <v>46</v>
      </c>
      <c r="D18">
        <v>30</v>
      </c>
      <c r="E18">
        <v>50</v>
      </c>
      <c r="F18">
        <v>20</v>
      </c>
      <c r="G18">
        <v>10</v>
      </c>
      <c r="H18" s="1">
        <v>10</v>
      </c>
      <c r="I18" s="1">
        <v>10</v>
      </c>
      <c r="J18">
        <v>1</v>
      </c>
      <c r="K18">
        <f t="shared" si="7"/>
        <v>110</v>
      </c>
      <c r="L18">
        <v>6</v>
      </c>
      <c r="M18">
        <f t="shared" si="5"/>
        <v>660</v>
      </c>
      <c r="N18">
        <f t="shared" si="3"/>
        <v>48</v>
      </c>
      <c r="O18">
        <f t="shared" si="6"/>
        <v>5280</v>
      </c>
      <c r="P18">
        <f t="shared" si="8"/>
        <v>52800</v>
      </c>
    </row>
    <row r="19" spans="1:20" x14ac:dyDescent="0.25">
      <c r="A19">
        <f t="shared" si="0"/>
        <v>6240</v>
      </c>
      <c r="B19" t="s">
        <v>47</v>
      </c>
      <c r="C19" t="s">
        <v>48</v>
      </c>
      <c r="D19">
        <v>20</v>
      </c>
      <c r="E19">
        <v>60</v>
      </c>
      <c r="F19">
        <v>30</v>
      </c>
      <c r="G19">
        <v>20</v>
      </c>
      <c r="H19" s="1">
        <v>10</v>
      </c>
      <c r="I19" s="1">
        <v>10</v>
      </c>
      <c r="J19">
        <v>1</v>
      </c>
      <c r="K19">
        <f t="shared" si="7"/>
        <v>130</v>
      </c>
      <c r="L19">
        <v>6</v>
      </c>
      <c r="M19">
        <f t="shared" si="5"/>
        <v>780</v>
      </c>
      <c r="N19">
        <f t="shared" si="3"/>
        <v>48</v>
      </c>
      <c r="O19">
        <f t="shared" si="6"/>
        <v>6240</v>
      </c>
      <c r="P19">
        <f t="shared" si="8"/>
        <v>62400</v>
      </c>
    </row>
    <row r="20" spans="1:20" x14ac:dyDescent="0.25">
      <c r="A20">
        <f t="shared" si="0"/>
        <v>13920</v>
      </c>
      <c r="B20" t="s">
        <v>49</v>
      </c>
      <c r="C20" t="s">
        <v>50</v>
      </c>
      <c r="D20">
        <v>60</v>
      </c>
      <c r="E20">
        <v>170</v>
      </c>
      <c r="F20">
        <v>30</v>
      </c>
      <c r="G20">
        <v>30</v>
      </c>
      <c r="H20" s="1">
        <v>10</v>
      </c>
      <c r="I20" s="1">
        <v>10</v>
      </c>
      <c r="J20">
        <v>1</v>
      </c>
      <c r="K20">
        <f t="shared" si="7"/>
        <v>290</v>
      </c>
      <c r="L20">
        <v>6</v>
      </c>
      <c r="M20">
        <f t="shared" si="5"/>
        <v>1740</v>
      </c>
      <c r="N20">
        <f t="shared" si="3"/>
        <v>48</v>
      </c>
      <c r="O20">
        <f t="shared" si="6"/>
        <v>13920</v>
      </c>
      <c r="P20">
        <f t="shared" si="8"/>
        <v>139200</v>
      </c>
    </row>
    <row r="21" spans="1:20" x14ac:dyDescent="0.25">
      <c r="A21">
        <f t="shared" si="0"/>
        <v>8640</v>
      </c>
      <c r="B21" t="s">
        <v>51</v>
      </c>
      <c r="C21" t="s">
        <v>52</v>
      </c>
      <c r="D21">
        <v>40</v>
      </c>
      <c r="E21">
        <v>80</v>
      </c>
      <c r="F21">
        <v>30</v>
      </c>
      <c r="G21">
        <v>30</v>
      </c>
      <c r="H21" s="1">
        <v>10</v>
      </c>
      <c r="I21" s="1">
        <v>10</v>
      </c>
      <c r="J21">
        <v>1</v>
      </c>
      <c r="K21">
        <f t="shared" si="7"/>
        <v>180</v>
      </c>
      <c r="L21">
        <v>6</v>
      </c>
      <c r="M21">
        <f t="shared" si="5"/>
        <v>1080</v>
      </c>
      <c r="N21">
        <f t="shared" si="3"/>
        <v>48</v>
      </c>
      <c r="O21">
        <f t="shared" si="6"/>
        <v>8640</v>
      </c>
      <c r="P21">
        <f t="shared" si="8"/>
        <v>86400</v>
      </c>
    </row>
    <row r="22" spans="1:20" ht="14.25" customHeight="1" x14ac:dyDescent="0.25">
      <c r="A22">
        <f t="shared" si="0"/>
        <v>4800</v>
      </c>
      <c r="B22" t="s">
        <v>53</v>
      </c>
      <c r="C22" t="s">
        <v>54</v>
      </c>
      <c r="D22">
        <v>10</v>
      </c>
      <c r="E22">
        <v>60</v>
      </c>
      <c r="F22">
        <v>20</v>
      </c>
      <c r="G22">
        <v>10</v>
      </c>
      <c r="H22" s="1">
        <v>10</v>
      </c>
      <c r="I22" s="1">
        <v>10</v>
      </c>
      <c r="J22">
        <v>1</v>
      </c>
      <c r="K22">
        <f t="shared" si="7"/>
        <v>100</v>
      </c>
      <c r="L22">
        <v>6</v>
      </c>
      <c r="M22">
        <f t="shared" si="5"/>
        <v>600</v>
      </c>
      <c r="N22">
        <f t="shared" si="3"/>
        <v>48</v>
      </c>
      <c r="O22">
        <f t="shared" si="6"/>
        <v>4800</v>
      </c>
      <c r="P22">
        <f t="shared" si="8"/>
        <v>48000</v>
      </c>
    </row>
    <row r="23" spans="1:20" x14ac:dyDescent="0.25">
      <c r="A23">
        <f t="shared" si="0"/>
        <v>5280</v>
      </c>
      <c r="B23" t="s">
        <v>55</v>
      </c>
      <c r="C23" t="s">
        <v>56</v>
      </c>
      <c r="D23">
        <v>20</v>
      </c>
      <c r="E23">
        <v>60</v>
      </c>
      <c r="F23">
        <v>20</v>
      </c>
      <c r="G23">
        <v>10</v>
      </c>
      <c r="H23" s="1">
        <v>10</v>
      </c>
      <c r="I23" s="1">
        <v>10</v>
      </c>
      <c r="J23">
        <v>1</v>
      </c>
      <c r="K23">
        <f t="shared" si="7"/>
        <v>110</v>
      </c>
      <c r="L23">
        <v>6</v>
      </c>
      <c r="M23">
        <f t="shared" si="5"/>
        <v>660</v>
      </c>
      <c r="N23">
        <f t="shared" si="3"/>
        <v>48</v>
      </c>
      <c r="O23">
        <f t="shared" si="6"/>
        <v>5280</v>
      </c>
      <c r="P23">
        <f t="shared" si="8"/>
        <v>52800</v>
      </c>
    </row>
    <row r="24" spans="1:20" x14ac:dyDescent="0.25">
      <c r="A24">
        <f t="shared" si="0"/>
        <v>5280</v>
      </c>
      <c r="B24" t="s">
        <v>57</v>
      </c>
      <c r="C24" t="s">
        <v>58</v>
      </c>
      <c r="D24">
        <v>20</v>
      </c>
      <c r="E24">
        <v>30</v>
      </c>
      <c r="F24">
        <v>30</v>
      </c>
      <c r="G24">
        <v>30</v>
      </c>
      <c r="H24" s="1">
        <v>10</v>
      </c>
      <c r="I24" s="1">
        <v>10</v>
      </c>
      <c r="J24">
        <v>1</v>
      </c>
      <c r="K24">
        <f t="shared" si="7"/>
        <v>110</v>
      </c>
      <c r="L24">
        <v>6</v>
      </c>
      <c r="M24">
        <f t="shared" si="5"/>
        <v>660</v>
      </c>
      <c r="N24">
        <f t="shared" si="3"/>
        <v>48</v>
      </c>
      <c r="O24">
        <f t="shared" si="6"/>
        <v>5280</v>
      </c>
      <c r="P24">
        <f t="shared" si="8"/>
        <v>52800</v>
      </c>
    </row>
    <row r="25" spans="1:20" x14ac:dyDescent="0.25">
      <c r="A25">
        <f t="shared" si="0"/>
        <v>2400</v>
      </c>
      <c r="B25" t="s">
        <v>59</v>
      </c>
      <c r="C25" t="s">
        <v>60</v>
      </c>
      <c r="D25">
        <v>10</v>
      </c>
      <c r="E25">
        <v>20</v>
      </c>
      <c r="F25">
        <v>10</v>
      </c>
      <c r="G25">
        <v>10</v>
      </c>
      <c r="H25" s="1">
        <v>5</v>
      </c>
      <c r="I25" s="1">
        <v>5</v>
      </c>
      <c r="J25">
        <v>1</v>
      </c>
      <c r="K25">
        <f t="shared" si="7"/>
        <v>50</v>
      </c>
      <c r="L25">
        <v>6</v>
      </c>
      <c r="M25">
        <f t="shared" si="5"/>
        <v>300</v>
      </c>
      <c r="N25">
        <f t="shared" si="3"/>
        <v>48</v>
      </c>
      <c r="O25">
        <f t="shared" si="6"/>
        <v>2400</v>
      </c>
      <c r="P25">
        <f t="shared" si="8"/>
        <v>24000</v>
      </c>
    </row>
    <row r="26" spans="1:20" x14ac:dyDescent="0.25">
      <c r="A26">
        <f t="shared" si="0"/>
        <v>3360</v>
      </c>
      <c r="B26" t="s">
        <v>61</v>
      </c>
      <c r="C26" t="s">
        <v>62</v>
      </c>
      <c r="D26">
        <v>10</v>
      </c>
      <c r="E26">
        <v>30</v>
      </c>
      <c r="F26">
        <v>20</v>
      </c>
      <c r="G26">
        <v>10</v>
      </c>
      <c r="H26" s="1">
        <v>5</v>
      </c>
      <c r="I26" s="1">
        <v>5</v>
      </c>
      <c r="J26">
        <v>1</v>
      </c>
      <c r="K26">
        <f t="shared" si="7"/>
        <v>70</v>
      </c>
      <c r="L26">
        <v>6</v>
      </c>
      <c r="M26">
        <f t="shared" si="5"/>
        <v>420</v>
      </c>
      <c r="N26">
        <f t="shared" si="3"/>
        <v>48</v>
      </c>
      <c r="O26">
        <f t="shared" si="6"/>
        <v>3360</v>
      </c>
      <c r="P26">
        <f t="shared" si="8"/>
        <v>33600</v>
      </c>
    </row>
    <row r="27" spans="1:20" x14ac:dyDescent="0.25">
      <c r="A27">
        <f t="shared" si="0"/>
        <v>2880</v>
      </c>
      <c r="B27" t="s">
        <v>63</v>
      </c>
      <c r="C27" t="s">
        <v>64</v>
      </c>
      <c r="D27">
        <v>10</v>
      </c>
      <c r="E27">
        <v>30</v>
      </c>
      <c r="F27">
        <v>10</v>
      </c>
      <c r="G27">
        <v>10</v>
      </c>
      <c r="H27" s="1">
        <v>5</v>
      </c>
      <c r="I27" s="1">
        <v>5</v>
      </c>
      <c r="J27">
        <v>1</v>
      </c>
      <c r="K27">
        <f t="shared" si="7"/>
        <v>60</v>
      </c>
      <c r="L27">
        <v>6</v>
      </c>
      <c r="M27">
        <f t="shared" si="5"/>
        <v>360</v>
      </c>
      <c r="N27">
        <f t="shared" si="3"/>
        <v>48</v>
      </c>
      <c r="O27">
        <f t="shared" si="6"/>
        <v>2880</v>
      </c>
      <c r="P27">
        <f t="shared" si="8"/>
        <v>28800</v>
      </c>
    </row>
    <row r="28" spans="1:20" x14ac:dyDescent="0.25">
      <c r="A28">
        <f t="shared" si="0"/>
        <v>3360</v>
      </c>
      <c r="B28" t="s">
        <v>65</v>
      </c>
      <c r="C28" t="s">
        <v>66</v>
      </c>
      <c r="D28">
        <v>10</v>
      </c>
      <c r="E28">
        <v>30</v>
      </c>
      <c r="F28">
        <v>20</v>
      </c>
      <c r="G28">
        <v>10</v>
      </c>
      <c r="H28" s="1">
        <v>5</v>
      </c>
      <c r="I28" s="1">
        <v>5</v>
      </c>
      <c r="J28">
        <v>1</v>
      </c>
      <c r="K28">
        <f t="shared" si="7"/>
        <v>70</v>
      </c>
      <c r="L28">
        <v>6</v>
      </c>
      <c r="M28">
        <f t="shared" si="5"/>
        <v>420</v>
      </c>
      <c r="N28">
        <f t="shared" si="3"/>
        <v>48</v>
      </c>
      <c r="O28">
        <f t="shared" si="6"/>
        <v>3360</v>
      </c>
      <c r="P28">
        <f t="shared" si="8"/>
        <v>33600</v>
      </c>
    </row>
    <row r="29" spans="1:20" x14ac:dyDescent="0.25">
      <c r="A29">
        <f t="shared" si="0"/>
        <v>1920</v>
      </c>
      <c r="B29" t="s">
        <v>67</v>
      </c>
      <c r="C29" t="s">
        <v>68</v>
      </c>
      <c r="D29">
        <v>10</v>
      </c>
      <c r="E29">
        <v>10</v>
      </c>
      <c r="F29">
        <v>10</v>
      </c>
      <c r="G29">
        <v>10</v>
      </c>
      <c r="H29" s="1">
        <v>5</v>
      </c>
      <c r="I29" s="1">
        <v>5</v>
      </c>
      <c r="J29">
        <v>1</v>
      </c>
      <c r="K29">
        <f t="shared" si="7"/>
        <v>40</v>
      </c>
      <c r="L29">
        <v>6</v>
      </c>
      <c r="M29">
        <f t="shared" si="5"/>
        <v>240</v>
      </c>
      <c r="N29">
        <f t="shared" si="3"/>
        <v>48</v>
      </c>
      <c r="O29">
        <f t="shared" si="6"/>
        <v>1920</v>
      </c>
      <c r="P29">
        <f t="shared" si="8"/>
        <v>19200</v>
      </c>
    </row>
    <row r="30" spans="1:20" x14ac:dyDescent="0.25">
      <c r="A30">
        <f t="shared" si="0"/>
        <v>0</v>
      </c>
      <c r="B30" t="s">
        <v>69</v>
      </c>
      <c r="C30" t="s">
        <v>70</v>
      </c>
      <c r="D30">
        <v>0</v>
      </c>
      <c r="E30">
        <v>0</v>
      </c>
      <c r="F30">
        <v>0</v>
      </c>
      <c r="G30">
        <v>0</v>
      </c>
      <c r="H30" s="1">
        <v>5</v>
      </c>
      <c r="I30" s="1">
        <v>5</v>
      </c>
      <c r="J30">
        <v>1</v>
      </c>
      <c r="K30">
        <f t="shared" si="7"/>
        <v>0</v>
      </c>
      <c r="L30">
        <v>6</v>
      </c>
      <c r="M30">
        <f t="shared" si="5"/>
        <v>0</v>
      </c>
      <c r="N30">
        <f t="shared" si="3"/>
        <v>48</v>
      </c>
      <c r="O30">
        <f t="shared" si="6"/>
        <v>0</v>
      </c>
      <c r="P30">
        <f t="shared" si="8"/>
        <v>0</v>
      </c>
    </row>
    <row r="31" spans="1:20" x14ac:dyDescent="0.25">
      <c r="A31">
        <f t="shared" si="0"/>
        <v>3840</v>
      </c>
      <c r="B31" t="s">
        <v>71</v>
      </c>
      <c r="C31" t="s">
        <v>72</v>
      </c>
      <c r="D31">
        <v>10</v>
      </c>
      <c r="E31">
        <v>50</v>
      </c>
      <c r="F31">
        <v>10</v>
      </c>
      <c r="G31">
        <v>10</v>
      </c>
      <c r="H31" s="1">
        <v>5</v>
      </c>
      <c r="I31" s="1">
        <v>5</v>
      </c>
      <c r="J31">
        <v>1</v>
      </c>
      <c r="K31">
        <f t="shared" si="7"/>
        <v>80</v>
      </c>
      <c r="L31">
        <v>6</v>
      </c>
      <c r="M31">
        <f t="shared" si="5"/>
        <v>480</v>
      </c>
      <c r="N31">
        <f t="shared" si="3"/>
        <v>48</v>
      </c>
      <c r="O31">
        <f t="shared" si="6"/>
        <v>3840</v>
      </c>
      <c r="P31">
        <f t="shared" si="8"/>
        <v>38400</v>
      </c>
    </row>
    <row r="32" spans="1:20" x14ac:dyDescent="0.25">
      <c r="A32">
        <f t="shared" si="0"/>
        <v>3840</v>
      </c>
      <c r="B32" t="s">
        <v>73</v>
      </c>
      <c r="C32" t="s">
        <v>74</v>
      </c>
      <c r="D32">
        <v>10</v>
      </c>
      <c r="E32">
        <v>50</v>
      </c>
      <c r="F32">
        <v>10</v>
      </c>
      <c r="G32">
        <v>10</v>
      </c>
      <c r="H32" s="1">
        <v>5</v>
      </c>
      <c r="I32" s="1">
        <v>5</v>
      </c>
      <c r="J32">
        <v>1</v>
      </c>
      <c r="K32">
        <f t="shared" si="7"/>
        <v>80</v>
      </c>
      <c r="L32">
        <v>6</v>
      </c>
      <c r="M32">
        <f t="shared" si="5"/>
        <v>480</v>
      </c>
      <c r="N32">
        <f t="shared" si="3"/>
        <v>48</v>
      </c>
      <c r="O32">
        <f t="shared" si="6"/>
        <v>3840</v>
      </c>
      <c r="P32">
        <f t="shared" si="8"/>
        <v>38400</v>
      </c>
    </row>
    <row r="33" spans="1:16" x14ac:dyDescent="0.25">
      <c r="A33">
        <f t="shared" si="0"/>
        <v>4320</v>
      </c>
      <c r="B33" t="s">
        <v>109</v>
      </c>
      <c r="C33" t="s">
        <v>107</v>
      </c>
      <c r="D33">
        <v>20</v>
      </c>
      <c r="E33">
        <v>40</v>
      </c>
      <c r="F33">
        <v>20</v>
      </c>
      <c r="G33">
        <v>10</v>
      </c>
      <c r="H33" s="1">
        <v>10</v>
      </c>
      <c r="I33" s="1">
        <v>5</v>
      </c>
      <c r="J33">
        <v>1</v>
      </c>
      <c r="K33">
        <f t="shared" si="7"/>
        <v>90</v>
      </c>
      <c r="L33">
        <v>6</v>
      </c>
      <c r="M33">
        <f t="shared" si="5"/>
        <v>540</v>
      </c>
      <c r="N33">
        <f t="shared" si="3"/>
        <v>48</v>
      </c>
      <c r="O33">
        <f t="shared" si="6"/>
        <v>4320</v>
      </c>
      <c r="P33">
        <f t="shared" si="8"/>
        <v>43200</v>
      </c>
    </row>
    <row r="34" spans="1:16" x14ac:dyDescent="0.25">
      <c r="A34">
        <f t="shared" si="0"/>
        <v>2880</v>
      </c>
      <c r="B34" t="s">
        <v>104</v>
      </c>
      <c r="C34" t="s">
        <v>105</v>
      </c>
      <c r="D34">
        <v>10</v>
      </c>
      <c r="E34">
        <v>20</v>
      </c>
      <c r="F34">
        <v>20</v>
      </c>
      <c r="G34">
        <v>10</v>
      </c>
      <c r="H34" s="1">
        <v>10</v>
      </c>
      <c r="I34" s="1">
        <v>5</v>
      </c>
      <c r="J34">
        <v>1</v>
      </c>
      <c r="K34">
        <f t="shared" si="7"/>
        <v>60</v>
      </c>
      <c r="L34">
        <v>6</v>
      </c>
      <c r="M34">
        <f t="shared" si="5"/>
        <v>360</v>
      </c>
      <c r="N34">
        <f t="shared" si="3"/>
        <v>48</v>
      </c>
      <c r="O34">
        <f t="shared" si="6"/>
        <v>2880</v>
      </c>
      <c r="P34">
        <f t="shared" si="8"/>
        <v>28800</v>
      </c>
    </row>
    <row r="35" spans="1:16" x14ac:dyDescent="0.25">
      <c r="A35">
        <f t="shared" si="0"/>
        <v>4320</v>
      </c>
      <c r="B35" t="s">
        <v>110</v>
      </c>
      <c r="C35" t="s">
        <v>111</v>
      </c>
      <c r="D35">
        <v>20</v>
      </c>
      <c r="E35">
        <v>40</v>
      </c>
      <c r="F35">
        <v>20</v>
      </c>
      <c r="G35">
        <v>10</v>
      </c>
      <c r="H35" s="1">
        <v>10</v>
      </c>
      <c r="I35" s="1">
        <v>5</v>
      </c>
      <c r="J35">
        <v>1</v>
      </c>
      <c r="K35">
        <f t="shared" si="7"/>
        <v>90</v>
      </c>
      <c r="L35">
        <v>6</v>
      </c>
      <c r="M35">
        <f t="shared" si="5"/>
        <v>540</v>
      </c>
      <c r="N35">
        <f t="shared" si="3"/>
        <v>48</v>
      </c>
      <c r="O35">
        <f t="shared" si="6"/>
        <v>4320</v>
      </c>
      <c r="P35">
        <f t="shared" si="8"/>
        <v>43200</v>
      </c>
    </row>
    <row r="36" spans="1:16" x14ac:dyDescent="0.25">
      <c r="A36">
        <f t="shared" si="0"/>
        <v>2880</v>
      </c>
      <c r="B36" t="s">
        <v>103</v>
      </c>
      <c r="C36" t="s">
        <v>106</v>
      </c>
      <c r="D36">
        <v>10</v>
      </c>
      <c r="E36">
        <v>20</v>
      </c>
      <c r="F36">
        <v>20</v>
      </c>
      <c r="G36">
        <v>10</v>
      </c>
      <c r="H36" s="1">
        <v>10</v>
      </c>
      <c r="I36" s="1">
        <v>5</v>
      </c>
      <c r="J36">
        <v>1</v>
      </c>
      <c r="K36">
        <f t="shared" si="7"/>
        <v>60</v>
      </c>
      <c r="L36">
        <v>6</v>
      </c>
      <c r="M36">
        <f t="shared" si="5"/>
        <v>360</v>
      </c>
      <c r="N36">
        <f t="shared" si="3"/>
        <v>48</v>
      </c>
      <c r="O36">
        <f t="shared" si="6"/>
        <v>2880</v>
      </c>
      <c r="P36">
        <f t="shared" si="8"/>
        <v>28800</v>
      </c>
    </row>
    <row r="37" spans="1:16" s="2" customFormat="1" x14ac:dyDescent="0.25">
      <c r="A37" s="2">
        <f t="shared" si="0"/>
        <v>4320</v>
      </c>
      <c r="C37" s="2" t="s">
        <v>112</v>
      </c>
      <c r="D37" s="2">
        <v>20</v>
      </c>
      <c r="E37" s="2">
        <v>30</v>
      </c>
      <c r="F37" s="2">
        <v>30</v>
      </c>
      <c r="G37" s="2">
        <v>10</v>
      </c>
      <c r="H37" s="2">
        <v>10</v>
      </c>
      <c r="I37" s="2">
        <v>5</v>
      </c>
      <c r="J37" s="2">
        <v>1</v>
      </c>
      <c r="K37" s="2">
        <f t="shared" si="7"/>
        <v>90</v>
      </c>
      <c r="L37" s="2">
        <v>6</v>
      </c>
      <c r="M37" s="2">
        <f t="shared" si="5"/>
        <v>540</v>
      </c>
      <c r="N37" s="2">
        <f t="shared" si="3"/>
        <v>48</v>
      </c>
      <c r="O37" s="2">
        <f t="shared" si="6"/>
        <v>4320</v>
      </c>
      <c r="P37" s="2">
        <f t="shared" si="8"/>
        <v>43200</v>
      </c>
    </row>
    <row r="38" spans="1:16" x14ac:dyDescent="0.25">
      <c r="A38">
        <f t="shared" si="0"/>
        <v>0</v>
      </c>
      <c r="B38" t="s">
        <v>75</v>
      </c>
      <c r="C38" t="s">
        <v>76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f t="shared" si="2"/>
        <v>0</v>
      </c>
      <c r="L38">
        <v>6</v>
      </c>
      <c r="M38">
        <f t="shared" ref="M10:M45" si="9">K38*L38</f>
        <v>0</v>
      </c>
      <c r="N38">
        <f t="shared" si="3"/>
        <v>48</v>
      </c>
      <c r="O38">
        <f t="shared" ref="O7:O45" si="10">K38*N38</f>
        <v>0</v>
      </c>
      <c r="P38">
        <f t="shared" si="4"/>
        <v>0</v>
      </c>
    </row>
    <row r="39" spans="1:16" x14ac:dyDescent="0.25">
      <c r="A39">
        <f t="shared" si="0"/>
        <v>0</v>
      </c>
      <c r="B39" t="s">
        <v>77</v>
      </c>
      <c r="C39" t="s">
        <v>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f t="shared" si="2"/>
        <v>0</v>
      </c>
      <c r="L39">
        <v>6</v>
      </c>
      <c r="M39">
        <f t="shared" si="9"/>
        <v>0</v>
      </c>
      <c r="N39">
        <f t="shared" si="3"/>
        <v>48</v>
      </c>
      <c r="O39">
        <f t="shared" si="10"/>
        <v>0</v>
      </c>
      <c r="P39">
        <f t="shared" si="4"/>
        <v>0</v>
      </c>
    </row>
    <row r="40" spans="1:16" x14ac:dyDescent="0.25">
      <c r="A40">
        <f t="shared" si="0"/>
        <v>0</v>
      </c>
      <c r="B40" t="s">
        <v>79</v>
      </c>
      <c r="C40" t="s">
        <v>80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f t="shared" si="2"/>
        <v>0</v>
      </c>
      <c r="L40">
        <v>6</v>
      </c>
      <c r="M40">
        <f t="shared" si="9"/>
        <v>0</v>
      </c>
      <c r="N40">
        <f t="shared" si="3"/>
        <v>48</v>
      </c>
      <c r="O40">
        <f t="shared" si="10"/>
        <v>0</v>
      </c>
      <c r="P40">
        <f t="shared" si="4"/>
        <v>0</v>
      </c>
    </row>
    <row r="41" spans="1:16" x14ac:dyDescent="0.25">
      <c r="A41">
        <f t="shared" si="0"/>
        <v>0</v>
      </c>
      <c r="B41" t="s">
        <v>81</v>
      </c>
      <c r="C41" t="s">
        <v>82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f t="shared" si="2"/>
        <v>0</v>
      </c>
      <c r="L41">
        <v>6</v>
      </c>
      <c r="M41">
        <f t="shared" si="9"/>
        <v>0</v>
      </c>
      <c r="N41">
        <f t="shared" si="3"/>
        <v>48</v>
      </c>
      <c r="O41">
        <f t="shared" si="10"/>
        <v>0</v>
      </c>
      <c r="P41">
        <f t="shared" si="4"/>
        <v>0</v>
      </c>
    </row>
    <row r="42" spans="1:16" x14ac:dyDescent="0.25">
      <c r="A42">
        <f t="shared" si="0"/>
        <v>0</v>
      </c>
      <c r="B42" t="s">
        <v>83</v>
      </c>
      <c r="C42" t="s">
        <v>84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f t="shared" si="2"/>
        <v>0</v>
      </c>
      <c r="L42">
        <v>6</v>
      </c>
      <c r="M42">
        <f t="shared" si="9"/>
        <v>0</v>
      </c>
      <c r="N42">
        <f t="shared" si="3"/>
        <v>48</v>
      </c>
      <c r="O42">
        <f t="shared" si="10"/>
        <v>0</v>
      </c>
      <c r="P42">
        <f t="shared" si="4"/>
        <v>0</v>
      </c>
    </row>
    <row r="43" spans="1:16" x14ac:dyDescent="0.25">
      <c r="A43">
        <f t="shared" si="0"/>
        <v>0</v>
      </c>
      <c r="B43" t="s">
        <v>85</v>
      </c>
      <c r="C43" t="s">
        <v>85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f t="shared" si="2"/>
        <v>0</v>
      </c>
      <c r="L43">
        <v>6</v>
      </c>
      <c r="M43">
        <f t="shared" si="9"/>
        <v>0</v>
      </c>
      <c r="N43">
        <f t="shared" si="3"/>
        <v>48</v>
      </c>
      <c r="O43">
        <f t="shared" si="10"/>
        <v>0</v>
      </c>
      <c r="P43">
        <f t="shared" si="4"/>
        <v>0</v>
      </c>
    </row>
    <row r="44" spans="1:16" x14ac:dyDescent="0.25">
      <c r="A44">
        <f t="shared" si="0"/>
        <v>0</v>
      </c>
      <c r="B44" t="s">
        <v>86</v>
      </c>
      <c r="C44" t="s">
        <v>87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f t="shared" si="2"/>
        <v>0</v>
      </c>
      <c r="L44">
        <v>6</v>
      </c>
      <c r="M44">
        <f t="shared" si="9"/>
        <v>0</v>
      </c>
      <c r="N44">
        <f t="shared" si="3"/>
        <v>48</v>
      </c>
      <c r="O44">
        <f t="shared" si="10"/>
        <v>0</v>
      </c>
      <c r="P44">
        <f t="shared" si="4"/>
        <v>0</v>
      </c>
    </row>
    <row r="45" spans="1:16" x14ac:dyDescent="0.25">
      <c r="A45">
        <f t="shared" si="0"/>
        <v>0</v>
      </c>
      <c r="B45" t="s">
        <v>88</v>
      </c>
      <c r="C45" t="s">
        <v>89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f t="shared" si="2"/>
        <v>0</v>
      </c>
      <c r="L45">
        <f t="shared" si="3"/>
        <v>48</v>
      </c>
      <c r="M45">
        <f t="shared" si="9"/>
        <v>0</v>
      </c>
      <c r="N45">
        <f t="shared" si="3"/>
        <v>48</v>
      </c>
      <c r="O45">
        <f t="shared" si="10"/>
        <v>0</v>
      </c>
      <c r="P45">
        <f t="shared" si="4"/>
        <v>0</v>
      </c>
    </row>
    <row r="46" spans="1:16" x14ac:dyDescent="0.25">
      <c r="A46">
        <f>O45</f>
        <v>0</v>
      </c>
      <c r="B46" t="s">
        <v>90</v>
      </c>
      <c r="C46" t="s">
        <v>91</v>
      </c>
    </row>
    <row r="47" spans="1:16" x14ac:dyDescent="0.25">
      <c r="A47">
        <f t="shared" si="0"/>
        <v>0</v>
      </c>
      <c r="B47" t="s">
        <v>92</v>
      </c>
      <c r="C47" t="s">
        <v>93</v>
      </c>
    </row>
    <row r="48" spans="1:16" x14ac:dyDescent="0.25">
      <c r="A48">
        <f t="shared" si="0"/>
        <v>0</v>
      </c>
      <c r="B48" t="s">
        <v>23</v>
      </c>
      <c r="C48" t="s">
        <v>94</v>
      </c>
    </row>
    <row r="49" spans="1:16" x14ac:dyDescent="0.25">
      <c r="A49">
        <f t="shared" si="0"/>
        <v>0</v>
      </c>
      <c r="B49" t="s">
        <v>95</v>
      </c>
      <c r="C49" t="s">
        <v>96</v>
      </c>
    </row>
    <row r="50" spans="1:16" x14ac:dyDescent="0.25">
      <c r="A50">
        <f t="shared" si="0"/>
        <v>0</v>
      </c>
      <c r="B50" t="s">
        <v>97</v>
      </c>
      <c r="C50" t="s">
        <v>98</v>
      </c>
    </row>
    <row r="51" spans="1:16" x14ac:dyDescent="0.25">
      <c r="A51">
        <f t="shared" si="0"/>
        <v>0</v>
      </c>
      <c r="B51" t="s">
        <v>99</v>
      </c>
      <c r="C51" t="s">
        <v>100</v>
      </c>
    </row>
    <row r="52" spans="1:16" x14ac:dyDescent="0.25">
      <c r="A52">
        <f t="shared" si="0"/>
        <v>0</v>
      </c>
      <c r="B52" t="s">
        <v>101</v>
      </c>
      <c r="C52" t="s">
        <v>102</v>
      </c>
    </row>
    <row r="54" spans="1:16" x14ac:dyDescent="0.25">
      <c r="L54">
        <f>SUM(L4:L52)</f>
        <v>294</v>
      </c>
      <c r="M54">
        <f>SUM(M4:M52)</f>
        <v>25710</v>
      </c>
      <c r="N54">
        <f>SUM(N4:N52)</f>
        <v>2016</v>
      </c>
      <c r="O54">
        <f>SUM(O4:O45)</f>
        <v>205680</v>
      </c>
      <c r="P54">
        <f t="shared" ref="P54" si="11">SUM(P4:P52)</f>
        <v>2056800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Dalbani</dc:creator>
  <cp:lastModifiedBy>Nader Dalbani</cp:lastModifiedBy>
  <dcterms:created xsi:type="dcterms:W3CDTF">2018-11-06T12:39:12Z</dcterms:created>
  <dcterms:modified xsi:type="dcterms:W3CDTF">2019-04-15T10:41:12Z</dcterms:modified>
</cp:coreProperties>
</file>