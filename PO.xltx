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430"/>
  <workbookPr codeName="ThisWorkbook" defaultThemeVersion="124226"/>
  <mc:AlternateContent xmlns:mc="http://schemas.openxmlformats.org/markup-compatibility/2006">
    <mc:Choice Requires="x15">
      <x15ac:absPath xmlns:x15ac="http://schemas.microsoft.com/office/spreadsheetml/2010/11/ac" url="G:\Shared drives\Bokitta Private\ERP\"/>
    </mc:Choice>
  </mc:AlternateContent>
  <xr:revisionPtr revIDLastSave="0" documentId="13_ncr:1_{137CF6FE-8B96-48A1-8C7B-86435983A50F}" xr6:coauthVersionLast="45" xr6:coauthVersionMax="45" xr10:uidLastSave="{00000000-0000-0000-0000-000000000000}"/>
  <bookViews>
    <workbookView xWindow="-120" yWindow="-120" windowWidth="29040" windowHeight="15990" tabRatio="766" activeTab="2" xr2:uid="{00000000-000D-0000-FFFF-FFFF00000000}"/>
  </bookViews>
  <sheets>
    <sheet name="PO" sheetId="4" r:id="rId1"/>
    <sheet name="Terms" sheetId="7" r:id="rId2"/>
    <sheet name="Planner" sheetId="5" r:id="rId3"/>
    <sheet name="Inspection SOP" sheetId="6" r:id="rId4"/>
    <sheet name="QA Guides" sheetId="20" r:id="rId5"/>
    <sheet name="Strike-Offs and Lab Dips SOP" sheetId="21" r:id="rId6"/>
    <sheet name="FOB SOP" sheetId="22" r:id="rId7"/>
    <sheet name="Fabric Inspection Report" sheetId="19" r:id="rId8"/>
    <sheet name="PO Staff" sheetId="8" r:id="rId9"/>
    <sheet name="Basics BOM" sheetId="9" r:id="rId10"/>
    <sheet name="SlipOn BOM" sheetId="23" r:id="rId11"/>
    <sheet name="BOM" sheetId="10" r:id="rId12"/>
    <sheet name="Tunics BOM" sheetId="16" r:id="rId13"/>
    <sheet name="TShirts BOM" sheetId="24" r:id="rId14"/>
    <sheet name="Taj BOM" sheetId="13" r:id="rId15"/>
    <sheet name="Jolie BOM" sheetId="25" r:id="rId16"/>
    <sheet name="Strike-Offs and Lab Dips SOP ol" sheetId="11" r:id="rId17"/>
    <sheet name="VersionHistory" sheetId="14" r:id="rId18"/>
    <sheet name="Sampling SOP" sheetId="15" r:id="rId19"/>
    <sheet name="Samples Tags" sheetId="18" r:id="rId2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66" i="5" l="1"/>
  <c r="H63" i="5"/>
  <c r="H64" i="5" s="1"/>
  <c r="H65" i="5" s="1"/>
  <c r="H62" i="5"/>
  <c r="H29" i="5"/>
  <c r="C86" i="5" l="1"/>
  <c r="H10" i="5" l="1"/>
  <c r="I10" i="5" s="1"/>
  <c r="I9" i="5"/>
  <c r="H11" i="5" l="1"/>
  <c r="I11" i="5" s="1"/>
  <c r="H12" i="5" l="1"/>
  <c r="I12" i="5" s="1"/>
  <c r="H13" i="5"/>
  <c r="H14" i="5" s="1"/>
  <c r="H15" i="5" s="1"/>
  <c r="H16" i="5" s="1"/>
  <c r="I16" i="5" s="1"/>
  <c r="H17" i="5" l="1"/>
  <c r="H18" i="5" s="1"/>
  <c r="H21" i="5" s="1"/>
  <c r="H22" i="5" s="1"/>
  <c r="H23" i="5"/>
  <c r="I13" i="5"/>
  <c r="I14" i="5"/>
  <c r="I15" i="5"/>
  <c r="I18" i="5"/>
  <c r="H19" i="5" l="1"/>
  <c r="H20" i="5" s="1"/>
  <c r="I20" i="5" s="1"/>
  <c r="I19" i="5"/>
  <c r="I17" i="5"/>
  <c r="I21" i="5"/>
  <c r="H24" i="5"/>
  <c r="I23" i="5"/>
  <c r="I22" i="5"/>
  <c r="F37" i="20"/>
  <c r="F15" i="20"/>
  <c r="F13" i="20"/>
  <c r="F14" i="20"/>
  <c r="F12" i="20"/>
  <c r="F11" i="20"/>
  <c r="F29" i="20"/>
  <c r="F27" i="20"/>
  <c r="F10" i="20"/>
  <c r="F9" i="20"/>
  <c r="F36" i="20"/>
  <c r="F35" i="20"/>
  <c r="F34" i="20"/>
  <c r="F33" i="20"/>
  <c r="F32" i="20"/>
  <c r="F31" i="20"/>
  <c r="F30" i="20"/>
  <c r="F28" i="20"/>
  <c r="F26" i="20"/>
  <c r="F25" i="20"/>
  <c r="F23" i="20"/>
  <c r="F22" i="20"/>
  <c r="F21" i="20"/>
  <c r="F20" i="20"/>
  <c r="F18" i="20"/>
  <c r="F17" i="20"/>
  <c r="F16" i="20"/>
  <c r="H25" i="5" l="1"/>
  <c r="I24" i="5"/>
  <c r="F10" i="6"/>
  <c r="H26" i="5" l="1"/>
  <c r="I25" i="5"/>
  <c r="F25" i="6"/>
  <c r="F20" i="6"/>
  <c r="F14" i="6"/>
  <c r="F13" i="6"/>
  <c r="F18" i="6"/>
  <c r="F26" i="6"/>
  <c r="F27" i="6"/>
  <c r="F24" i="6"/>
  <c r="F23" i="6"/>
  <c r="F22" i="6"/>
  <c r="F21" i="6"/>
  <c r="F19" i="6"/>
  <c r="F16" i="6"/>
  <c r="F15" i="6"/>
  <c r="F11" i="6"/>
  <c r="F9" i="6"/>
  <c r="H27" i="5" l="1"/>
  <c r="I26" i="5"/>
  <c r="H28" i="5" l="1"/>
  <c r="I27" i="5"/>
  <c r="H31" i="5" l="1"/>
  <c r="I31" i="5" s="1"/>
  <c r="I28" i="5"/>
  <c r="H30" i="5" l="1"/>
  <c r="H32" i="5" s="1"/>
  <c r="I32" i="5" s="1"/>
  <c r="I29" i="5"/>
  <c r="H33" i="5" l="1"/>
  <c r="H40" i="5" s="1"/>
  <c r="I30" i="5"/>
  <c r="H34" i="5" l="1"/>
  <c r="I33" i="5"/>
  <c r="I34" i="5" l="1"/>
  <c r="H35" i="5"/>
  <c r="H36" i="5" l="1"/>
  <c r="I35" i="5"/>
  <c r="H37" i="5" l="1"/>
  <c r="I36" i="5"/>
  <c r="H38" i="5" l="1"/>
  <c r="I37" i="5"/>
  <c r="I38" i="5" l="1"/>
  <c r="H39" i="5"/>
  <c r="I39" i="5" s="1"/>
  <c r="I40" i="5"/>
  <c r="H41" i="5"/>
  <c r="H42" i="5" l="1"/>
  <c r="I41" i="5"/>
  <c r="I42" i="5" l="1"/>
  <c r="H43" i="5"/>
  <c r="H44" i="5" l="1"/>
  <c r="I43" i="5"/>
  <c r="H45" i="5" l="1"/>
  <c r="I44" i="5"/>
  <c r="I45" i="5" l="1"/>
  <c r="H46" i="5"/>
  <c r="H47" i="5" l="1"/>
  <c r="H48" i="5" s="1"/>
  <c r="I46" i="5"/>
  <c r="H49" i="5" l="1"/>
  <c r="I48" i="5"/>
  <c r="I47" i="5"/>
  <c r="H50" i="5" l="1"/>
  <c r="I50" i="5" s="1"/>
  <c r="I49" i="5"/>
  <c r="H51" i="5" l="1"/>
  <c r="H52" i="5" l="1"/>
  <c r="I51" i="5"/>
  <c r="H53" i="5" l="1"/>
  <c r="I52" i="5"/>
  <c r="H54" i="5" l="1"/>
  <c r="I53" i="5"/>
  <c r="H67" i="5" l="1"/>
  <c r="H68" i="5" s="1"/>
  <c r="H69" i="5" s="1"/>
  <c r="H70" i="5" s="1"/>
  <c r="H71" i="5" s="1"/>
  <c r="H72" i="5" s="1"/>
  <c r="H73" i="5" s="1"/>
  <c r="H74" i="5" s="1"/>
  <c r="H75" i="5" s="1"/>
  <c r="H76" i="5" s="1"/>
  <c r="H77" i="5" s="1"/>
  <c r="H78" i="5" s="1"/>
  <c r="H79" i="5" s="1"/>
  <c r="H80" i="5" s="1"/>
  <c r="H81" i="5" s="1"/>
  <c r="H82" i="5" s="1"/>
  <c r="H83" i="5" s="1"/>
  <c r="H84" i="5" s="1"/>
  <c r="H85" i="5" s="1"/>
  <c r="H55" i="5"/>
  <c r="I54" i="5"/>
  <c r="H56" i="5" l="1"/>
  <c r="I55" i="5"/>
  <c r="H57" i="5" l="1"/>
  <c r="I56" i="5"/>
  <c r="I62" i="5"/>
  <c r="H58" i="5" l="1"/>
  <c r="I57" i="5"/>
  <c r="I63" i="5"/>
  <c r="H59" i="5" l="1"/>
  <c r="I58" i="5"/>
  <c r="I64" i="5"/>
  <c r="H60" i="5" l="1"/>
  <c r="I59" i="5"/>
  <c r="I65" i="5"/>
  <c r="I60" i="5" l="1"/>
  <c r="H61" i="5"/>
  <c r="I61" i="5" s="1"/>
  <c r="I66" i="5"/>
  <c r="I67" i="5" l="1"/>
  <c r="I68" i="5" l="1"/>
  <c r="I69" i="5" l="1"/>
  <c r="I70" i="5" l="1"/>
  <c r="I71" i="5" l="1"/>
  <c r="I72" i="5" l="1"/>
  <c r="I73" i="5" l="1"/>
  <c r="I74" i="5" l="1"/>
  <c r="I75" i="5" l="1"/>
  <c r="I76" i="5" l="1"/>
  <c r="I77" i="5" l="1"/>
  <c r="I78" i="5" l="1"/>
  <c r="I79" i="5" l="1"/>
  <c r="I80" i="5" l="1"/>
  <c r="I81" i="5" l="1"/>
  <c r="I82" i="5" l="1"/>
  <c r="I83" i="5" l="1"/>
  <c r="I85" i="5" l="1"/>
  <c r="I84" i="5"/>
</calcChain>
</file>

<file path=xl/sharedStrings.xml><?xml version="1.0" encoding="utf-8"?>
<sst xmlns="http://schemas.openxmlformats.org/spreadsheetml/2006/main" count="1985" uniqueCount="669">
  <si>
    <t>Purchase Order</t>
  </si>
  <si>
    <t>PO No.:</t>
  </si>
  <si>
    <t>Delivery Date:</t>
  </si>
  <si>
    <t>Season</t>
  </si>
  <si>
    <t>2015/Q4</t>
  </si>
  <si>
    <t>Last Change Date</t>
  </si>
  <si>
    <t>Buyer:</t>
  </si>
  <si>
    <t>SHAHI EXPORTS PVT. LTD.</t>
  </si>
  <si>
    <t>Bokitta Offshore SAL | M. Mubde ABSI Halabi | Abdallah ABSI Halabi</t>
  </si>
  <si>
    <t>INDUSTRIAL PLOT NO.1, SECTOR -28</t>
  </si>
  <si>
    <t>Mazraa Street, Nora Bldg 12th floor</t>
  </si>
  <si>
    <t>Talat Khayat</t>
  </si>
  <si>
    <t>INDIA</t>
  </si>
  <si>
    <t>Beirut, Lebanon</t>
  </si>
  <si>
    <t>Rajesh Bhatt, Tel:+911292273980</t>
  </si>
  <si>
    <r>
      <t>(</t>
    </r>
    <r>
      <rPr>
        <sz val="12"/>
        <color indexed="8"/>
        <rFont val="Calibri"/>
        <family val="2"/>
      </rPr>
      <t xml:space="preserve"> 961-1-305562</t>
    </r>
  </si>
  <si>
    <t>Item</t>
  </si>
  <si>
    <t>Code</t>
  </si>
  <si>
    <t>Description</t>
  </si>
  <si>
    <t>Component Cost</t>
  </si>
  <si>
    <t>Model QTY</t>
  </si>
  <si>
    <t>Price</t>
  </si>
  <si>
    <t>PO Planner</t>
  </si>
  <si>
    <t>PO NO</t>
  </si>
  <si>
    <t>Phase</t>
  </si>
  <si>
    <t>Action</t>
  </si>
  <si>
    <t>Responsible Party</t>
  </si>
  <si>
    <t>Delegated to</t>
  </si>
  <si>
    <t>Planned Date</t>
  </si>
  <si>
    <t>Actual Date</t>
  </si>
  <si>
    <t>Comments</t>
  </si>
  <si>
    <t>Acceptance of Purchase Order Terms and conditions as per worksheet</t>
  </si>
  <si>
    <t>Quantities and specification locked</t>
  </si>
  <si>
    <t>Greige  booking</t>
  </si>
  <si>
    <t>Confirmation of Purchase Order by supplier, Signature</t>
  </si>
  <si>
    <t>Advance Payment</t>
  </si>
  <si>
    <t>Submission of all trims, packing material</t>
  </si>
  <si>
    <t>Approval of all trims, packing material</t>
  </si>
  <si>
    <t>Approval of barcode labels</t>
  </si>
  <si>
    <t>SEAL</t>
  </si>
  <si>
    <t>APPROVAL of Sealer Samples</t>
  </si>
  <si>
    <t>Submission of COMPLETE PP Samples for all styles and all prints</t>
  </si>
  <si>
    <t>Approval of PP Samples submission for all styles and all prints</t>
  </si>
  <si>
    <t>Delivery</t>
  </si>
  <si>
    <t>Approval of Final Inspection Report and authorization to deliver</t>
  </si>
  <si>
    <t>DELIVERY of PO Goods to Forwarder</t>
  </si>
  <si>
    <t>Legend</t>
  </si>
  <si>
    <t>Completed</t>
  </si>
  <si>
    <t>Partially Completed</t>
  </si>
  <si>
    <t>Supplier Authorized Signatory and company seal</t>
  </si>
  <si>
    <t>Overdue</t>
  </si>
  <si>
    <t>I Confirm acceptance of this purchase order and all of its tems and conditions as stated by this PO in all its pages. The acceptance of this PO presupposes that you are in agreement with all its specific conditions.</t>
  </si>
  <si>
    <t>Report Description</t>
  </si>
  <si>
    <t>Responsible Manager</t>
  </si>
  <si>
    <t>Submission Date</t>
  </si>
  <si>
    <t>SHADE SEGREGATION REPORT</t>
  </si>
  <si>
    <t>100% CUT COMPONENT QUALITY CHECK REPORT</t>
  </si>
  <si>
    <t>Spreading</t>
  </si>
  <si>
    <t>LAY RECORD</t>
  </si>
  <si>
    <t>FINISHING ONLINE QUALITY AUDIT REPORT</t>
  </si>
  <si>
    <t>NEEDLE DETECTION RECORD</t>
  </si>
  <si>
    <t>NEEDLE DETECTOR CALIBRATION LOG</t>
  </si>
  <si>
    <t>BROKEN NEEDLE RECORD</t>
  </si>
  <si>
    <t>PIECE GOODS INSPECTION REPORT</t>
  </si>
  <si>
    <t>FINISHING INTERNAL CARTON AUDITING REPORT</t>
  </si>
  <si>
    <t>MEASUREMENT INSPECTION REPORT</t>
  </si>
  <si>
    <t>TRIMS INSPECTION REPORT {LABELS, HANGTAGS, ELASTIC AND THREADS}</t>
  </si>
  <si>
    <t>CUTTING INSPECTION REPORT</t>
  </si>
  <si>
    <t>100% INLINE INSPECTION REPORT</t>
  </si>
  <si>
    <t>Shipping</t>
  </si>
  <si>
    <t>Booking cargo by forwarder and getting AWB/BL</t>
  </si>
  <si>
    <t>Clearing cargo by agent at destination</t>
  </si>
  <si>
    <t>Collection</t>
  </si>
  <si>
    <t>Submitting photos of shipment by Inspector</t>
  </si>
  <si>
    <t>Clearing</t>
  </si>
  <si>
    <t>Marketing</t>
  </si>
  <si>
    <t>Confirming receipt of shipment</t>
  </si>
  <si>
    <t>Announcing cargo ready for delivery to customers</t>
  </si>
  <si>
    <t>Provide delivery list</t>
  </si>
  <si>
    <t>Delivery of photoshoot carton to Photographer</t>
  </si>
  <si>
    <t>Start delivery of goods</t>
  </si>
  <si>
    <t>Social media teasers</t>
  </si>
  <si>
    <t>Press kit and Release date announcement</t>
  </si>
  <si>
    <t>Release date reactions report</t>
  </si>
  <si>
    <t>Customers feedback report</t>
  </si>
  <si>
    <t>Acknowledgement of Purchase Order receipt</t>
  </si>
  <si>
    <t>Bokitta</t>
  </si>
  <si>
    <t>Manufacturer</t>
  </si>
  <si>
    <t>Destination Details Labels submitted</t>
  </si>
  <si>
    <t>Submitting photos of shipment and confirming carton count</t>
  </si>
  <si>
    <t>Forwarder</t>
  </si>
  <si>
    <t>Clearing agent</t>
  </si>
  <si>
    <t>Provide POD and confirming with customer contents</t>
  </si>
  <si>
    <t>Wafa</t>
  </si>
  <si>
    <t>Inspection</t>
  </si>
  <si>
    <t>Confirming Packing Lists</t>
  </si>
  <si>
    <t>Submitting AWB/BL</t>
  </si>
  <si>
    <t>Days from Delivery</t>
  </si>
  <si>
    <t>Acceptance of Purchase Order Prices</t>
  </si>
  <si>
    <t>Production of extra fabric Starts</t>
  </si>
  <si>
    <t>Submission of extra fabric report</t>
  </si>
  <si>
    <t>Approval of extra fabric production quantities</t>
  </si>
  <si>
    <t>DELIVERY of Extra Quanity Goods to Forwarder</t>
  </si>
  <si>
    <t xml:space="preserve">Samples must use same fabrics for shell, lining and inner for approval </t>
  </si>
  <si>
    <t>Approval will be done for fit, shell fabric, lining fabric, inner fabric.</t>
  </si>
  <si>
    <t>You must use S/O fabric to make one M6 sample for each color</t>
  </si>
  <si>
    <t xml:space="preserve">Submission of Packing Details </t>
  </si>
  <si>
    <t>Submission of Carton Contents pieces Count audit Reports 100% check</t>
  </si>
  <si>
    <t xml:space="preserve">Sign license to manufacture exact quatities </t>
  </si>
  <si>
    <t>Term</t>
  </si>
  <si>
    <t>Check Mark</t>
  </si>
  <si>
    <t>Payment</t>
  </si>
  <si>
    <t>Wire transfer as agreed.</t>
  </si>
  <si>
    <t>Confidentiality</t>
  </si>
  <si>
    <t>Supplier acknoledges BOKITTA’s confidentiality of (registered or non-registered) products, patents, models, patterns, artworks, CADs, schematics, drawings, images, cuts, concept, processes, internal structure, designs, external elements, documentation, snapshots, presentations, Formatted documents such as but not limited to PSD/PST/TIF/AI/JPG/GIF/XLSX/DOCX, anything sent by email or communicated orally, and all other information relating to dealers, distributors, franchisees, markets, cost, prices and all other aspects of business operations concerning such product(s) in any format electronic transmissions, magnetic, optical, fabric or paper. All people who have access to this PO and all above information are responsible for non-disclosure if this confidential information</t>
  </si>
  <si>
    <t>Bill of Material Approvals</t>
  </si>
  <si>
    <t xml:space="preserve">All products must be produced in accordance with the approved sample and using the approved bill of materials. Approval of material must be in writing and signed for every material in the bill of material. All fabrics must be sampled including every print or design. </t>
  </si>
  <si>
    <t>Fabric and accessories testing</t>
  </si>
  <si>
    <t>Materials used in the product should be tested. Testing report should be provided for every material used in production. Testing procedure should be recommended by manufacturer and approved by buyer.</t>
  </si>
  <si>
    <t>Sampling of actual production material</t>
  </si>
  <si>
    <t xml:space="preserve">Only materials in the bill of materials that are approved for use in the products and that meets the specifications can be ordered for production. Production material must be approved before use. You must deliver samples of each material; to HQ in Beirut by courier.  Approval must be in writing and signed for every material in the bill of material. </t>
  </si>
  <si>
    <t>Sampling of products</t>
  </si>
  <si>
    <t>Sampling of products must be done twice; first samples must be done upon submitting our PO to approve the overall product look and feel. Those samples must use materials that are approved. Second set of samples must be done when ready to manufacture product using the approved production material. In case of any errors in product design, look or feel, the samples must be repeated. Samples for each print and each plain color and in all ordered styles must be sent for photoshoot.</t>
  </si>
  <si>
    <t>Packing</t>
  </si>
  <si>
    <t>Each item must be invidually packed as specified in the item details in the PO. Also, every 10 items must be packed in one heavy duty polybag unless otherwise is indicated.</t>
  </si>
  <si>
    <t>Confrimity:</t>
  </si>
  <si>
    <t>All products received must be fully in compliance with approved specifications detailed for each item in the PO and as per the drawings and sewing pattern supplied and checked for quality as specified in the QC Checklist. All products that do not confirm are considered rejected.
Bokitta reserves the right to repair, according to instructions by the supplier, defective material, and any charges that may arise as a result will be at the supplier's expense</t>
  </si>
  <si>
    <t>Returns:</t>
  </si>
  <si>
    <t>Shipping Terms:</t>
  </si>
  <si>
    <t>All products shipped must be packed in good quality cartons and wrapped with nylon and straps. Shipping charges will be paid by Supplier and then invoiced to Bokitta. No partial shipment is allowed unless authorized by Bokitta.</t>
  </si>
  <si>
    <t>Prices</t>
  </si>
  <si>
    <t>The prices set forth are understood to be firm and not subject to revision, unless otherwise decided.
Prices for items in the purchase order must be valid for at least 60 days from issue date.</t>
  </si>
  <si>
    <t>Validity of Purchase Order</t>
  </si>
  <si>
    <t>This purchase order is valid if it is signed and sealed by supplier stamp. It will be cancelled after one week of issue date if not signed.</t>
  </si>
  <si>
    <t>Delivery Conditions and Penality</t>
  </si>
  <si>
    <t>The delivery date indicated will be strictly observed. Non compliance on the supplier's behalf with the lead-times and ships dates indicated in this purchase order will result into  a penalty amount of .5% of the total invoice amount for every day beyond the ship date indicated in the purchase order and for the first 20 days of delay. After the twentieth day, Bokitta can cancel the order, and demand immediate refund of the full amount of the advance payment and added to that penalty amount of 10% of the total invoice amount. 
Bokitta reserves the right to modify delivery periods and specifications.</t>
  </si>
  <si>
    <t>Shipment Schedule</t>
  </si>
  <si>
    <t>The production of the quanity in this PO should be scheduled such as delivery is made in three batches. Each batch is one third the total quantity but should be equal mix of all sets (1, 2, 3, etc.) in the PO and equal quantities of all styles (M2, M6, M12, M12m)</t>
  </si>
  <si>
    <t>Sales Conditions</t>
  </si>
  <si>
    <t>Sales conditions that are contrary to our purchase specifications will not be accepted unless our express agreement is given.</t>
  </si>
  <si>
    <t>Excess/NO Shortage</t>
  </si>
  <si>
    <t>Goods in this Purchase Order can be in excess of up to 5% for any of the individual line items in this PO and the total quantity but no shortage is allowed.</t>
  </si>
  <si>
    <t>Transfer to other party</t>
  </si>
  <si>
    <t>The supplier may not assign or transfer this PO without our express authorization. The granting to the supplier of the subcontracting of all or part of the PO does not absolve it from its responsibilities towards Bokitta Offshore SAL</t>
  </si>
  <si>
    <t>GUARANTEE</t>
  </si>
  <si>
    <t>Indemnity</t>
  </si>
  <si>
    <t>You agree to assume liability for any claim arising from using designs and prints used in manufacturing our product, including, but not limited to, claims for libel, copyright infringement, trademark, trade name or patent infringement, or any other claim.  In addition, you agree, to indemnify, defend and hold us harmless for all claims (whether valid or invalid), lawsuits, judgments, liabilities, damages, losses, costs and expenses of any nature (including the assessment of reasonable attorneys’ fees) resulting from or caused by the use of any design or print.</t>
  </si>
  <si>
    <t>Testing</t>
  </si>
  <si>
    <t>The supplier guarantees the quality of all materials used to manufacture the products of this order and as specified. Bokitta might at anytime verify this quality by using the services of a fabric and material testing third party. If the analysis of any material tested is found is different than the specified then the supplier will be liable for all damage caused as well as replacement of all products using this material whether in production or in stock or in end customers pocession.</t>
  </si>
  <si>
    <t>MODELS, DRAWINGS AND TOOLING</t>
  </si>
  <si>
    <t>Any models, drawings and tooling manufactured on our behalf or charged by us will be the exclusive property of Bokitta. Unless authorized in writing, they may not be used for other manufacturing that is not for Bokitta, nor may they be reproduced or transferred for third parties under any other form or title, in accordance with the confidentiality agreement that have been signed.</t>
  </si>
  <si>
    <t>Right to access</t>
  </si>
  <si>
    <t>Bokitta reserves the right to inspect the manufacture and control of the materials at the domicile of the supplier and other suppliers subcontracted to the latter. This right covers any of Bokitta employees or representatives and Bokitta customers in cases they may require. These controls and checks will in no case represent definitive acceptance of the supplies or conformity with the specifications of the PO.</t>
  </si>
  <si>
    <t>Inspection Reports</t>
  </si>
  <si>
    <t>Bokitta demands from the supplier to provide inspection reports for all phases of product manufacturing process from fabric QA inspection to final product inspection. All reports must be signed by QC Manager, Factory Manager, Acount Manager and the person doing the inspection.</t>
  </si>
  <si>
    <t>Inspections SOP - 100% OQL</t>
  </si>
  <si>
    <t>FINAL AUDIT REPORT- 100% count</t>
  </si>
  <si>
    <t>FINAL INSPECTION REPORT - 100% OQL. 0 Major and 0 Minor defects.</t>
  </si>
  <si>
    <t>Staff Planner</t>
  </si>
  <si>
    <t>Title</t>
  </si>
  <si>
    <t>Name</t>
  </si>
  <si>
    <t>Responsibility</t>
  </si>
  <si>
    <t>Reports To</t>
  </si>
  <si>
    <t>Email</t>
  </si>
  <si>
    <t>Account Manager</t>
  </si>
  <si>
    <t>Boss Email</t>
  </si>
  <si>
    <t>Artwork and Trims</t>
  </si>
  <si>
    <t>S/O and Lab Dips</t>
  </si>
  <si>
    <t>QC Inline</t>
  </si>
  <si>
    <t>Bokitta QA</t>
  </si>
  <si>
    <t>Form Version</t>
  </si>
  <si>
    <t>Factory Manager</t>
  </si>
  <si>
    <t>PO Terms</t>
  </si>
  <si>
    <t>Quality</t>
  </si>
  <si>
    <t>Material</t>
  </si>
  <si>
    <t>Properties</t>
  </si>
  <si>
    <t>Google Drive Link</t>
  </si>
  <si>
    <t>File Path</t>
  </si>
  <si>
    <t>File Version Date</t>
  </si>
  <si>
    <t>Supplier name and email</t>
  </si>
  <si>
    <t xml:space="preserve">Approval </t>
  </si>
  <si>
    <t xml:space="preserve">FABRIC </t>
  </si>
  <si>
    <t xml:space="preserve">SHELL FABRIC </t>
  </si>
  <si>
    <t xml:space="preserve">100% polyester Flat Chiffon printed or plain, 55 gsm </t>
  </si>
  <si>
    <t>Flat Chiffon 55</t>
  </si>
  <si>
    <t>Soft touch, light weight, falls</t>
  </si>
  <si>
    <t xml:space="preserve">Lining FABRIC </t>
  </si>
  <si>
    <t>LINING FABRIC for M2, M6, M12, M12m and Vg</t>
  </si>
  <si>
    <t>100% Cotton Voile 80sx80s/84x64</t>
  </si>
  <si>
    <t>Soft touch, light weight, zero stiffness, Opaque</t>
  </si>
  <si>
    <t xml:space="preserve">Jersey Inner FABRIC </t>
  </si>
  <si>
    <t>Magic Inner - SINGLE JERSEY - Dark colors</t>
  </si>
  <si>
    <t xml:space="preserve">95% COTTON 5% Elastin -SINGLE JERSEY -110-130 GSM  </t>
  </si>
  <si>
    <t>CottonLycra</t>
  </si>
  <si>
    <t>Very light, soft, high elasticity</t>
  </si>
  <si>
    <t>Magic Inner - SINGLE JERSEY - Light colors</t>
  </si>
  <si>
    <t xml:space="preserve">95% COTTON 5% Elastin -SINGLE JERSEY -130-145 GSM  </t>
  </si>
  <si>
    <t xml:space="preserve">Magic Inner TRIM  FABRIC </t>
  </si>
  <si>
    <t>Same as shell</t>
  </si>
  <si>
    <t>TRIMS</t>
  </si>
  <si>
    <t xml:space="preserve">THREADS- TOP </t>
  </si>
  <si>
    <t>THREADS- BOBBIN</t>
  </si>
  <si>
    <t xml:space="preserve">THREADS - LABEL </t>
  </si>
  <si>
    <t xml:space="preserve">THREADS -LINING MATCH </t>
  </si>
  <si>
    <t xml:space="preserve">ELASTIC </t>
  </si>
  <si>
    <t>FOR HEAD INNER SCARF * size- 1/4"</t>
  </si>
  <si>
    <t>Rubber, soft stretch not stiff</t>
  </si>
  <si>
    <t>Black for dark colors /White for light colors</t>
  </si>
  <si>
    <t>FOR SCARF -@ the  CHIN * size- 1/4"</t>
  </si>
  <si>
    <t xml:space="preserve">BASICS MAIN LABEL </t>
  </si>
  <si>
    <t>woven label: Thread color: Plain White. Individually cut and hot sealed at both ends and ready to stitch to garment.
Logo text : Luxia Semibold - 290 Spacing</t>
  </si>
  <si>
    <t>Woven Tafta, soft material and light</t>
  </si>
  <si>
    <t>for shell</t>
  </si>
  <si>
    <t>Suppliers Product Packing Artwork Files</t>
  </si>
  <si>
    <t>for inner</t>
  </si>
  <si>
    <t>WASH CARE LABEL  M2, M6, M12, M12m, M19, M19m</t>
  </si>
  <si>
    <t xml:space="preserve">Taffeta label - as per approved artwork &amp; sample </t>
  </si>
  <si>
    <t>Tafta</t>
  </si>
  <si>
    <t>Light</t>
  </si>
  <si>
    <t>Tassle M12 and M12m. One piece per scarf.</t>
  </si>
  <si>
    <t>2- colors of threads. Tail is Tassel Color 1 and Wrap is Tassle Color 2. See Set sheet.</t>
  </si>
  <si>
    <t>Colorof tail is decided by the background and the tieing color is Second color</t>
  </si>
  <si>
    <t>\StylesInfo\Bokitta-M12-Chic\Sewing Guide</t>
  </si>
  <si>
    <t>Patterns</t>
  </si>
  <si>
    <t>M2-Voila</t>
  </si>
  <si>
    <t>Pattern, sewing file, measurements</t>
  </si>
  <si>
    <t>Product Suppliers Patterns and Guides</t>
  </si>
  <si>
    <t>\StylesInfo\Bokitta-M2-Voila</t>
  </si>
  <si>
    <t>M6-VoilaMaxi</t>
  </si>
  <si>
    <t>\StylesInfo\Bokitta-M6-VoilaMaxi</t>
  </si>
  <si>
    <t>M12-Chic</t>
  </si>
  <si>
    <t>M12m-ChicMaxi</t>
  </si>
  <si>
    <t>M19-Taj</t>
  </si>
  <si>
    <t>\StylesInfo\Bokitta-M19-Taj</t>
  </si>
  <si>
    <t>M19m-TajMaxi</t>
  </si>
  <si>
    <t>\StylesInfo\Bokitta-M19m-TajMaxi</t>
  </si>
  <si>
    <t>Inner</t>
  </si>
  <si>
    <t>\StylesInfo\Bokitta-Inner</t>
  </si>
  <si>
    <t>PACKING</t>
  </si>
  <si>
    <t>BACK SUPPORT BOARD</t>
  </si>
  <si>
    <t>White Paper card, 285 gsm</t>
  </si>
  <si>
    <t>size must be L=26 cm, W=18 cm.</t>
  </si>
  <si>
    <t xml:space="preserve">INFORMATION SHEET </t>
  </si>
  <si>
    <t>Paper card, 175 gsm</t>
  </si>
  <si>
    <t>size must be L=41 cm, W=19 cm. Must have two Folding lines</t>
  </si>
  <si>
    <t>Item POLYBAG - SINGLE, M2 and M6</t>
  </si>
  <si>
    <t>Clear polyethelene, with top flap closure and Seal King adhesive</t>
  </si>
  <si>
    <t>L=30cm, W=20.8 cm  Closure flap= 4 cm</t>
  </si>
  <si>
    <t>Item POLYBAG - SINGLE, M12 and M12m</t>
  </si>
  <si>
    <t>L=30cm, W=21.6 cm  Closure flap= 4 cm</t>
  </si>
  <si>
    <t>MASTER POLYBAG- 5 PCS /BAG</t>
  </si>
  <si>
    <t>Clear polyethelene, with top flap and Seal King adhesive, gusset bottom</t>
  </si>
  <si>
    <t>Length= 35.5 cm, Closure flap= 7 cm , Width  = 26.7 cm , Bottom Gusset = 7.6 cm </t>
  </si>
  <si>
    <t xml:space="preserve">BARCODE STICKER </t>
  </si>
  <si>
    <t>As per provided sample,  6cm x 3cm</t>
  </si>
  <si>
    <t>Apply at the back of item main label (27)</t>
  </si>
  <si>
    <t>Apply at the back of item polybag (24 or 25)</t>
  </si>
  <si>
    <t>Apply at the back of item master polybag (33)</t>
  </si>
  <si>
    <t>MAIN HANG TAG</t>
  </si>
  <si>
    <t>1. Matte thick paper
2. BOKITTA logo to be printed in Black Glossy laminated finish</t>
  </si>
  <si>
    <t>1. The logo needs be black and laminated
2. All other printing in black
3. Matt paper for printing</t>
  </si>
  <si>
    <t>Hologram label</t>
  </si>
  <si>
    <t>1- Apply at the open side of the Standard Box
2- Apply to Frosted Paper used inside Premium Box.</t>
  </si>
  <si>
    <t>How to wear Hangtags</t>
  </si>
  <si>
    <t>Illustration images in Black and white printed on translucent/frosted paper/card</t>
  </si>
  <si>
    <t xml:space="preserve">STRING - for Hang tag </t>
  </si>
  <si>
    <t xml:space="preserve">As per provided sample </t>
  </si>
  <si>
    <t>Safety Pin</t>
  </si>
  <si>
    <t xml:space="preserve">Golden or black: As per provided sample </t>
  </si>
  <si>
    <t>Regular duty carton box for shipping. Should handle at least 30 pieces and approximate load is up to 6 kg</t>
  </si>
  <si>
    <t>Heavy duty carton box for shipping. Should handle at least 60 pieces and approximate load is up to 12 kg</t>
  </si>
  <si>
    <t xml:space="preserve">A4 SIZE PLAIN Contents STICKER </t>
  </si>
  <si>
    <t xml:space="preserve">White adhesive back, as per provided sample </t>
  </si>
  <si>
    <t xml:space="preserve">A4 SIZE PLAIN Contents paper </t>
  </si>
  <si>
    <t xml:space="preserve">White copy paper, as per provided sample, leave inside shipping carton </t>
  </si>
  <si>
    <t xml:space="preserve">POLYETHENE COVER - for Carton Wrapping </t>
  </si>
  <si>
    <t>Strapping Carton tape</t>
  </si>
  <si>
    <t xml:space="preserve">Red, Green, blue and black, tape, as per provided sample </t>
  </si>
  <si>
    <t xml:space="preserve">Bokitta GUM TAPE </t>
  </si>
  <si>
    <t xml:space="preserve">Standard MAIN LABEL </t>
  </si>
  <si>
    <t>Main Label Link</t>
  </si>
  <si>
    <t xml:space="preserve">Premium MAIN LABEL </t>
  </si>
  <si>
    <t>Standard and Premium BACK SUPPORT BOARD</t>
  </si>
  <si>
    <t>size must be L=19 cm, W=19 cm.</t>
  </si>
  <si>
    <t>Standard Item box</t>
  </si>
  <si>
    <t>1. BOKITTA LOGO, as well as side text printed in black laminated glossy finish
2. All other printing in regular black finish
3. Matte paper for the box color finish</t>
  </si>
  <si>
    <t>size must be L=19.5 cm, W=19.5 cm</t>
  </si>
  <si>
    <t>Premium Item box</t>
  </si>
  <si>
    <t>1. BOKITTA Logo in Black laminated glossy finish
2. ALL gold needs to be metallic gold plated finished
3. Color rim on the side to be matte finish.
4. Think matte cardboard box
5. Fold and slices are for reference and not to be printed</t>
  </si>
  <si>
    <t>Premium Item paper wrap</t>
  </si>
  <si>
    <t>1. Frosted Tisue Paper Wrapper</t>
  </si>
  <si>
    <t>size must be L=40 cm, W=19.5 cm</t>
  </si>
  <si>
    <t>1. BOKITTA logo Black laminated
2. All other printing in black matt
3. Matte paper for printing</t>
  </si>
  <si>
    <t>1. Borders need to be metallic finished gold
2. Logo is black laminated and embossd
3. all other printing in Matte
4. Matte thick paper for printing</t>
  </si>
  <si>
    <t>Item BARCODE STICKER on Main Hang Tag</t>
  </si>
  <si>
    <t>As per provided sample,  4 cm x 4.5 cm</t>
  </si>
  <si>
    <t>Apply at the back of item main label</t>
  </si>
  <si>
    <t>Item Box Barcode</t>
  </si>
  <si>
    <t>Apply to the side of the box</t>
  </si>
  <si>
    <t>woven label: Thread color: Nickel 218 MA 1810/ IS 3770/ PMS 428 C. Individually cut and hot sealed at both ends and ready to stitch to garment.
Logo text : Luxia Semibold - 290 Spacing</t>
  </si>
  <si>
    <t>woven label: Thread color: Gold Metallic 055 MA 4006/ IS 0493/ PMS 8385 C, Individually cut and hot sealed at both ends and ready to stitch to garment.
Logo text : Luxia Semibold - 290 Spacing</t>
  </si>
  <si>
    <t>Premium Box POLYBAG</t>
  </si>
  <si>
    <t>L=28cm, W=23 cm  Closure flap= 5 cm</t>
  </si>
  <si>
    <t>Strike-Offs and Lab Dips SOP</t>
  </si>
  <si>
    <t>Step</t>
  </si>
  <si>
    <t>You must use our specification sheet that we provided with each print as the only REFERENCE for Pantone colors used in the item. Pantone is our REFERENCE color system.</t>
  </si>
  <si>
    <t>You make S/O of shell print or lab-dip as per our required specification colors and artworks.</t>
  </si>
  <si>
    <t>After approval from us, you can now develop the shell fabric bulk (FOB)</t>
  </si>
  <si>
    <t>You submit the S/O or lab-dip of the shell to mills to develop the matching lining and jersey.</t>
  </si>
  <si>
    <t>It is your responsibility to match the lining and jersey lab-dips with the Approved shell under proper lighting for proper shade identification.</t>
  </si>
  <si>
    <t>Once all Shell, lining and jersey are all matched and FOB (bulk) for all is produced, you can then send us the matched FOB set for approval. </t>
  </si>
  <si>
    <t>100% polyester Crepe Chiffon printed or plain, 65 gsm</t>
  </si>
  <si>
    <t>Delivery Date</t>
  </si>
  <si>
    <t>100% Sewing and Guide Following Report</t>
  </si>
  <si>
    <t>Fabric</t>
  </si>
  <si>
    <t>Cutting</t>
  </si>
  <si>
    <t>Final Inspection</t>
  </si>
  <si>
    <t>Inline</t>
  </si>
  <si>
    <t>Safety</t>
  </si>
  <si>
    <t>Change Date</t>
  </si>
  <si>
    <t>Sheet Affected</t>
  </si>
  <si>
    <t>Description of Change</t>
  </si>
  <si>
    <t>Version History</t>
  </si>
  <si>
    <t>FIT  SAMPLE</t>
  </si>
  <si>
    <t>The fit sample is made in accordance with the specifications submitted by Bokitta and are locked for this PO. After receiving fit samples for all styles, Bokitta can approve or request remaking of fit sample after changes and comments are submitted to manufacturer. This fit samples submission can be reiterated several times before Bokitta approval.</t>
  </si>
  <si>
    <t>PhotoShoot Samples</t>
  </si>
  <si>
    <t xml:space="preserve">When manufacturer receives strike offs of prints or dyed fabric, photoshoot samples for each print and each plain color and in all ordered styles must be sent to Bokitta for photoshoot. </t>
  </si>
  <si>
    <t> PRE-PRODUCTION/SEALER  SAMPLE</t>
  </si>
  <si>
    <t>It is done for the VoiulaMaxi size only of any one color and actual fabric and actual trims are used. Must be submitted before actual production and must get approval before production starts.</t>
  </si>
  <si>
    <t>Style -SET  SAMPLES</t>
  </si>
  <si>
    <t>These production samples are made in actual fabric and trims in all sizes and is sent to the buyer for reference.</t>
  </si>
  <si>
    <t>Sampling SOP</t>
  </si>
  <si>
    <t>Bill Of Material for Tunics</t>
  </si>
  <si>
    <t>Bill Of Material for Hijabs</t>
  </si>
  <si>
    <t>Bill Of Material for BASICS</t>
  </si>
  <si>
    <t>Bill Of Material for Taj</t>
  </si>
  <si>
    <t>100% Rayon Viscose 60s, 60 gsm</t>
  </si>
  <si>
    <t>Rayon 60s</t>
  </si>
  <si>
    <t>Soft touch, light weight, falls, SHINY</t>
  </si>
  <si>
    <t>WASH CARE LABEL  B1 and B3</t>
  </si>
  <si>
    <t>Bokitta-B1-Ruffles Tunic</t>
  </si>
  <si>
    <t>Bokitta-B3-Twist Tunic</t>
  </si>
  <si>
    <t>\StylesInfo\Bokitta-B1-Ruffles Tunic</t>
  </si>
  <si>
    <t>\StylesInfo\Bokitta-B3-Twist Tunic</t>
  </si>
  <si>
    <t>Item POLYBAG</t>
  </si>
  <si>
    <t>Clear Polyethelene</t>
  </si>
  <si>
    <t>with top flap closure and Seal King adhesive. Bokitta printed on both sides.</t>
  </si>
  <si>
    <t>L=42.5 cm, W=29 cm  Closure flap= 4.5 cm</t>
  </si>
  <si>
    <t>Apply to Item Polybag</t>
  </si>
  <si>
    <t xml:space="preserve">B3 Tunic Extension FABRIC </t>
  </si>
  <si>
    <t xml:space="preserve">B1 and B3 SHELL FABRIC </t>
  </si>
  <si>
    <t>Issue Date</t>
  </si>
  <si>
    <t>FARIDABAD, HARYANA - 121 008, INDIA</t>
  </si>
  <si>
    <t>Twilly</t>
  </si>
  <si>
    <t>Rectangular Classic Shawl</t>
  </si>
  <si>
    <t>\StylesInfo\Bokitta-Twilly</t>
  </si>
  <si>
    <t>\StylesInfo\Bokitta Rectangular Classic Shawls</t>
  </si>
  <si>
    <t>Golden on transparent background</t>
  </si>
  <si>
    <t>License and Brand Protection</t>
  </si>
  <si>
    <t>Bokitta owner of Patent "WIPO Publication number and Title: (WO2011055166) READY-TO-WEAR HEADSCARF" hereby authorize the Supplier (as indicated under Supplier in the Purchase Order first page), to produce the products in this PO only and in the quantities stated. You will make sure that not even 1 pc is spilled to local market</t>
  </si>
  <si>
    <t>Twilly Pack</t>
  </si>
  <si>
    <t>1- All printing in metallic silver finish
2. Paper thickness 300gr+
3. Laminated finish for paper</t>
  </si>
  <si>
    <t>Twilly POLYBAG</t>
  </si>
  <si>
    <t>L=18 cm, W=19 cm  Closure flap= 3 cm</t>
  </si>
  <si>
    <t>\StylesInfo\Bokitta-M12-Chic-New</t>
  </si>
  <si>
    <t>\StylesInfo\Bokitta-M12m-ChicMaxi-New</t>
  </si>
  <si>
    <t>L=26cm, W=23 cm  Closure flap= 3 cm</t>
  </si>
  <si>
    <t>Standard Box POLYBAG</t>
  </si>
  <si>
    <t>Button</t>
  </si>
  <si>
    <t>4 buttons made from same garment fabric</t>
  </si>
  <si>
    <t>1- All printing in metallic silver finish
2. ITC PEARL GRAPHIC 350 GSM
3. Laminated finish for paper</t>
  </si>
  <si>
    <t>BUTTER PAPER  190 GSM</t>
  </si>
  <si>
    <t>PINDO BOARD HI WHITE  360GSM</t>
  </si>
  <si>
    <t>BOARD ITC PEARL 350 GSM(XL- PAC)</t>
  </si>
  <si>
    <t>ITC PEARL XL PAC  300GSM</t>
  </si>
  <si>
    <t>Purchase Order placed</t>
  </si>
  <si>
    <t>S/O and lab dips must be done in 10 days after placing PO.</t>
  </si>
  <si>
    <t>All fabric qualities must be sent even if sent before</t>
  </si>
  <si>
    <t>Fixing required DELIVERY date to Forwarder</t>
  </si>
  <si>
    <t>Signing PO</t>
  </si>
  <si>
    <t>Due</t>
  </si>
  <si>
    <t>Leadtime to Delivery</t>
  </si>
  <si>
    <t>Acceptance of artworks, patterns and sewing guides. Submit acknowledgement of every item with date.</t>
  </si>
  <si>
    <t>List each pattern, guide, trim with version date.</t>
  </si>
  <si>
    <t>You then send the S/O of the Shell fabric along with matching lining and jersey as a set to us for approval of the set..</t>
  </si>
  <si>
    <t>Fit Samples Tag</t>
  </si>
  <si>
    <t>Style</t>
  </si>
  <si>
    <t>Pattern Date</t>
  </si>
  <si>
    <t>Shell Fabric</t>
  </si>
  <si>
    <t>Lining</t>
  </si>
  <si>
    <t>Jersey</t>
  </si>
  <si>
    <t>Photoshoot Samples Tag</t>
  </si>
  <si>
    <t>FOB/Strike-Off</t>
  </si>
  <si>
    <t>Print Name</t>
  </si>
  <si>
    <t>Pre-Production Samples Tag</t>
  </si>
  <si>
    <t>1 button made from same garment fabric to attach to wash care as extra button.</t>
  </si>
  <si>
    <t>Accessory</t>
  </si>
  <si>
    <t>Standard WASH CARE LABEL  Shawl</t>
  </si>
  <si>
    <t>Standard WASH CARE LABEL  Twilly</t>
  </si>
  <si>
    <t>NO WASH CARE TAG</t>
  </si>
  <si>
    <t>Supplier</t>
  </si>
  <si>
    <t>Tassle M19 and M19m. One piece per scarf.</t>
  </si>
  <si>
    <t>Black - 61x41x21</t>
  </si>
  <si>
    <t>Black - 61x21x21</t>
  </si>
  <si>
    <t>Standard Product Tag</t>
  </si>
  <si>
    <t>Premium Product Tag</t>
  </si>
  <si>
    <t>Product HANG TAG</t>
  </si>
  <si>
    <t>\StylesInfo\Nana</t>
  </si>
  <si>
    <t>Inner - Nana</t>
  </si>
  <si>
    <t>You submit shell S/O or lab-dip after you are certain that it is as per our specs. lab-dip Fabric pieces must be at least 10 cm x 10 cm. S/O of prints must be at least 110 cm x 80 cm. Complete sample of VoilaMaxi using S/O must be submitted.</t>
  </si>
  <si>
    <t>SHIPPING CARTON SMALL</t>
  </si>
  <si>
    <t>Regular duty carton box for shipping. Should handle at least 25 pieces and approximate load is up to 6 kg</t>
  </si>
  <si>
    <t>70x22x22</t>
  </si>
  <si>
    <t>SHIPPING CARTON LARGE</t>
  </si>
  <si>
    <t>Heavy duty carton box for shipping. Should handle at least 50 pieces and approximate load is up to 12 kg</t>
  </si>
  <si>
    <t>70x42x22</t>
  </si>
  <si>
    <t>thangarasu duraisamy</t>
  </si>
  <si>
    <t>QA Manager</t>
  </si>
  <si>
    <t>Mohammad</t>
  </si>
  <si>
    <t>thanga.d@bokitta.com</t>
  </si>
  <si>
    <t xml:space="preserve"> Fabric Inspection Report </t>
  </si>
  <si>
    <t xml:space="preserve">Inspection Report </t>
  </si>
  <si>
    <t xml:space="preserve">Inspection Date </t>
  </si>
  <si>
    <t xml:space="preserve">Fabric description </t>
  </si>
  <si>
    <t xml:space="preserve">Fabric supplier </t>
  </si>
  <si>
    <t xml:space="preserve">Cuttable Width </t>
  </si>
  <si>
    <t>Bokitta Production Supplier</t>
  </si>
  <si>
    <t xml:space="preserve">Weight </t>
  </si>
  <si>
    <t>Dye lot  weight</t>
  </si>
  <si>
    <t>Require GSM</t>
  </si>
  <si>
    <t>Total no of Bundles/Takka/Roll</t>
  </si>
  <si>
    <t>LOT DETAILS</t>
  </si>
  <si>
    <t xml:space="preserve">Inspection rolls no </t>
  </si>
  <si>
    <t>Fabric width Required in inches</t>
  </si>
  <si>
    <t>Fabric width Actual in inches</t>
  </si>
  <si>
    <t>Defects Description</t>
  </si>
  <si>
    <t>Holes</t>
  </si>
  <si>
    <t>Yarn contamination</t>
  </si>
  <si>
    <t>Thin yarn</t>
  </si>
  <si>
    <t>Thick yarn</t>
  </si>
  <si>
    <t>Slub</t>
  </si>
  <si>
    <t>Loose wrap</t>
  </si>
  <si>
    <t>Loose weft or snarl</t>
  </si>
  <si>
    <t xml:space="preserve">Bad or defective selvedges </t>
  </si>
  <si>
    <t>Broken ends  or wrap</t>
  </si>
  <si>
    <t>Broken picks or weft</t>
  </si>
  <si>
    <t>Double ends</t>
  </si>
  <si>
    <t>Tight ends</t>
  </si>
  <si>
    <t>Float of wrap</t>
  </si>
  <si>
    <t>Miss Pick</t>
  </si>
  <si>
    <t>Double Pick</t>
  </si>
  <si>
    <t>Neps</t>
  </si>
  <si>
    <t>Oil spot or Stain</t>
  </si>
  <si>
    <t>Lycra cut / Elasthane cut</t>
  </si>
  <si>
    <t>Needle drops</t>
  </si>
  <si>
    <t>Crease Marks</t>
  </si>
  <si>
    <t>Print faulty</t>
  </si>
  <si>
    <t>Miss-Print</t>
  </si>
  <si>
    <t>Drop stitches</t>
  </si>
  <si>
    <t>Fabric weight out of tolerance</t>
  </si>
  <si>
    <t>Pin marks</t>
  </si>
  <si>
    <t>Other defects</t>
  </si>
  <si>
    <t>Actual GSM</t>
  </si>
  <si>
    <t>Takka /Bundle /Roll Weight</t>
  </si>
  <si>
    <t>Hand feel</t>
  </si>
  <si>
    <t>Fabric Inspector  Name &amp; Sign</t>
  </si>
  <si>
    <t>Fabric Manager Name &amp; Sign</t>
  </si>
  <si>
    <t xml:space="preserve">                      Factory Manager Name &amp; Sign</t>
  </si>
  <si>
    <t>Quality Manager name &amp; sign</t>
  </si>
  <si>
    <t>Defect Images</t>
  </si>
  <si>
    <t>FABRIC Inspection REPORT</t>
  </si>
  <si>
    <t>Bokitta QA Manager  Name &amp; Sign</t>
  </si>
  <si>
    <t>Bokitta Production Manager Name &amp; Sign</t>
  </si>
  <si>
    <t>Print/Color</t>
  </si>
  <si>
    <t>Implement "Bokitta Fabric Inspection guideline"</t>
  </si>
  <si>
    <t>QA Guides andReports</t>
  </si>
  <si>
    <t>Bokitta Fabric Inspection guideline.docx</t>
  </si>
  <si>
    <t>File Path/Name</t>
  </si>
  <si>
    <t>Bokitta Fabric Inspection Report.xlsx</t>
  </si>
  <si>
    <t xml:space="preserve">                                                     100% Shipment need to Inspect </t>
  </si>
  <si>
    <t>Remark</t>
  </si>
  <si>
    <t>Barcode HANG TAG</t>
  </si>
  <si>
    <t>QA Guides and SOPs</t>
  </si>
  <si>
    <t>Supplier Manual</t>
  </si>
  <si>
    <t>General</t>
  </si>
  <si>
    <t>100% Cut Panel Quality Audit Report</t>
  </si>
  <si>
    <t>100% Initial and Inline Inspection Report</t>
  </si>
  <si>
    <t>Endline</t>
  </si>
  <si>
    <t>Endline checking report</t>
  </si>
  <si>
    <t>Bokitta-M2-Voila-SewingGuide</t>
  </si>
  <si>
    <t>Bokitta-M6-VoilaMaxi-SewingGuide</t>
  </si>
  <si>
    <t>Bokitta-M12-Chic-SewingGuide</t>
  </si>
  <si>
    <t>Bokitta-M12m-ChicMaxi-SewingGuide</t>
  </si>
  <si>
    <t>Voila! &amp; Voila Maxi - Sewing Line  Batch Set Up</t>
  </si>
  <si>
    <t>Chic &amp; Chic Maxi -Sewing Line Batch Set Up</t>
  </si>
  <si>
    <t>100 %Final Carton audit report</t>
  </si>
  <si>
    <t xml:space="preserve"> </t>
  </si>
  <si>
    <t>Final Shipment Inspection Report</t>
  </si>
  <si>
    <t>Print</t>
  </si>
  <si>
    <t>Tech</t>
  </si>
  <si>
    <t>Artwork Submission</t>
  </si>
  <si>
    <t>S/O submission</t>
  </si>
  <si>
    <t>Approved/Completed</t>
  </si>
  <si>
    <t>Redo</t>
  </si>
  <si>
    <t>Rejected</t>
  </si>
  <si>
    <t>FOB of Shell/Lining/Jersey SOP</t>
  </si>
  <si>
    <t>FOB submission</t>
  </si>
  <si>
    <t>S/O Comments</t>
  </si>
  <si>
    <t>FOB Comments</t>
  </si>
  <si>
    <t>\Packs and Tags\Hijabs Tags-Packs-Labels\Basics Hijab\Fabric Brand Label</t>
  </si>
  <si>
    <t>\Packs and Tags\Hijabs Tags-Packs-Labels\Basics Hijab\Wash Care</t>
  </si>
  <si>
    <t>Packs and Tags\Hijabs Tags-Packs-Labels\Basics Hijab\Hang tags and Stickers\Main Brand Hang Tag</t>
  </si>
  <si>
    <t>\Packs and Tags\Hijabs Tags-Packs-Labels\Basics Hijab\Hang tags and Stickers\Styles Color Hang Tags</t>
  </si>
  <si>
    <t>Packs and Tags\Hijabs Tags-Packs-Labels\Basics Hijab\Hang tags and Stickers\Hologram Sticker</t>
  </si>
  <si>
    <t>Packs and Tags\Hijabs Tags-Packs-Labels\Basics Hijab\Hang tags and Stickers\How To Wear Hang Tag</t>
  </si>
  <si>
    <t>Packs and Tags\Hijabs Tags-Packs-Labels\Basics Hijab\Hang tags and Stickers\Barcode Hang Tag</t>
  </si>
  <si>
    <t>\Packs and Tags\Hijabs Tags-Packs-Labels\Basics Hijab\Packaging InfoCards</t>
  </si>
  <si>
    <t>\Packs and Tags\Hijabs Tags-Packs-Labels\Basics Hijab\Item Polybag</t>
  </si>
  <si>
    <t>\Packs and Tags\Hijabs Tags-Packs-Labels\Basics Hijab\5-pc-Pack PloyBag</t>
  </si>
  <si>
    <t>\Packs and Tags\Hijabs Tags-Packs-Labels\Basics Hijab\Barcode Label</t>
  </si>
  <si>
    <t>\Packs and Tags\Twilly\Packaging</t>
  </si>
  <si>
    <t>\Packs and Tags\Twilly\Polybag</t>
  </si>
  <si>
    <t>\Packs and Tags\Shipping Carton\Small Carton 61x21x21</t>
  </si>
  <si>
    <t>\Packs and Tags\Shipping Carton\Large Carton 61x41x21</t>
  </si>
  <si>
    <t>\Packs and Tags\Shipping Carton\Carton Content Sticker</t>
  </si>
  <si>
    <t>\Packs and Tags\Hijabs Tags-Packs-Labels\Standard Hijab\Fabric Brand Label</t>
  </si>
  <si>
    <t>\Packs and Tags\Hijabs Tags-Packs-Labels\Premium  Hijab\Fabric Brand Label</t>
  </si>
  <si>
    <t>\Packs and Tags\Hijabs Tags-Packs-Labels\Standard Hijab\Wash Care</t>
  </si>
  <si>
    <t>\Packs and Tags\Hijabs Tags-Packs-Labels\Premium  Hijab\Wash Care</t>
  </si>
  <si>
    <t>\Packs and Tags\Shawls Tags-Packs-Labels\Wash Care</t>
  </si>
  <si>
    <t>\Packs and Tags\Hijabs Tags-Packs-Labels\Standard Hijab\standard tags\Main Brand Hang Tag</t>
  </si>
  <si>
    <t>\Packs and Tags\Hijabs Tags-Packs-Labels\Standard Hijab\standard tags\Styles Color Hang Tags</t>
  </si>
  <si>
    <t>\Packs and Tags\Hijabs Tags-Packs-Labels\Premium  Hijab\Hang Tags and Stickers\Styles Color Hang Tags</t>
  </si>
  <si>
    <t>\Packs and Tags\Hijabs Tags-Packs-Labels\Premium  Hijab\Hang Tags and Stickers\Hologram Sticker</t>
  </si>
  <si>
    <t>\Packs and Tags\Hijabs Tags-Packs-Labels\Standard Hijab\standard tags\How To Wear Hang Tag</t>
  </si>
  <si>
    <t>\Packs and Tags\Hijabs Tags-Packs-Labels\Standard Hijab\standard Boxes</t>
  </si>
  <si>
    <t>\Packs and Tags\Hijabs Tags-Packs-Labels\Premium  Hijab\Premium Boxes</t>
  </si>
  <si>
    <t>\Packs and Tags\Hijabs Tags-Packs-Labels\Standard Hijab\Barcode Label</t>
  </si>
  <si>
    <t>\Packs and Tags\Shipping Carton\Small Carton 70x22x22</t>
  </si>
  <si>
    <t>\Packs and Tags\Shipping Carton\Large Carton 70x42x22</t>
  </si>
  <si>
    <t>\Packs and Tags\Wash Care</t>
  </si>
  <si>
    <t>\Packs and Tags\Blouses Tags-Packs-Labels\Hang Tags\Main Hang Tag</t>
  </si>
  <si>
    <t>\Packs and Tags\Blouses Tags-Packs-Labels\Hang Tags\carnation and jasmine hangtags</t>
  </si>
  <si>
    <t>\Packs and Tags\Blouses Tags-Packs-Labels\Poly shipping bag for shirts</t>
  </si>
  <si>
    <t>\Packs and Tags\Blouses Tags-Packs-Labels\Barcode Labels</t>
  </si>
  <si>
    <t>Item BARCODE STICKER on Barcode Hang Tag</t>
  </si>
  <si>
    <t>Barcode Tag</t>
  </si>
  <si>
    <t>\Packs and Tags\Hijabs Tags-Packs-Labels\Standard Hijab\tags\Barcode Hang Tag</t>
  </si>
  <si>
    <t>As per provided sample,  4 cm x 4 cm</t>
  </si>
  <si>
    <t>Apply at the back of item barcode label</t>
  </si>
  <si>
    <t>Quantity</t>
  </si>
  <si>
    <t>Item Box Barcode sticker 1</t>
  </si>
  <si>
    <t>Item Box Barcode sticker 2</t>
  </si>
  <si>
    <t>\Packs and Tags\Hijabs Tags-Packs-Labels\Standard Hijab\Boxes\Barcode label</t>
  </si>
  <si>
    <t>Apply on the box polybag</t>
  </si>
  <si>
    <t>As per provided sample, 12 cm x 1.5 cm</t>
  </si>
  <si>
    <t>\Packs and Tags\Hijabs Tags-Packs-Labels\Standard Hijab\Boxes\polybag\barcode label</t>
  </si>
  <si>
    <t>Qunatity</t>
  </si>
  <si>
    <t>\Packs and Tags\Shipping Carton\Standard and Premium Hijabs\LARGE CARTON 72X42X22</t>
  </si>
  <si>
    <t>72x42x22</t>
  </si>
  <si>
    <t>72x22x22</t>
  </si>
  <si>
    <t>\Packs and Tags\Shipping Carton\Standard and Premium Hijabs\SMALL CARTON 72X22X22</t>
  </si>
  <si>
    <t>M2-VoilaMini</t>
  </si>
  <si>
    <t>M12-ChicMini</t>
  </si>
  <si>
    <t>\StylesInfo\Bokitta-M2-VoilaMini</t>
  </si>
  <si>
    <t>\StylesInfo\Bokitta-M12-ChicMini</t>
  </si>
  <si>
    <t>M10-FreeStyle</t>
  </si>
  <si>
    <t>\StylesInfo\Bokitta-M10-FreeStyle</t>
  </si>
  <si>
    <t>B-Inner</t>
  </si>
  <si>
    <t>X-Inner</t>
  </si>
  <si>
    <t>\StylesInfo\Bokitta-B Inner</t>
  </si>
  <si>
    <t>\StylesInfo\Bokitta-X Inner</t>
  </si>
  <si>
    <t>T-Inner</t>
  </si>
  <si>
    <t>\StylesInfo\Bokitta-T Inner</t>
  </si>
  <si>
    <t>1- Black for dark colors /White for light colors
2- 1 to 2.5 elasticity ratio. Ex; 10 cm should stretch to 25 cm</t>
  </si>
  <si>
    <t>FOR INNER  size- 1/4"</t>
  </si>
  <si>
    <t>FOR Garment @ the  CHIN * size- 1/4"</t>
  </si>
  <si>
    <t>Standard WASH CARE LABEL  M2, M6, M12, M12m, M19, M19m,M10, B Inner, X Inner, T Inner, M10s, M12s</t>
  </si>
  <si>
    <t>Premium WASH CARE LABEL  M2, M6, M12, M12m, M19, M19m,M10, B Inner, X Inner, T Inner, M10s, M12s</t>
  </si>
  <si>
    <t>Bokitta will submit claims against all products returned by customers due to defects of any kind and over the 2.0 OQL quality standard. Those returned items will be either returned to manufacturer/Supplier or - option by Bokitta - fixed by Bokitta or its affiliates on Supplier account.
Claims include all items rejected by our Quality Control or our client Quality Control.</t>
  </si>
  <si>
    <t>20% in advance by wire transfer. 80% on acknowlegement from our country representative that goods are ready for delivery to forwarder and shipment.</t>
  </si>
  <si>
    <t>The supplier guarantees the quality of the material specified in the order against any manufacturing defect or vice, either visible or hidden as per OQL 2.0. The guarantee will cover the repair/replacement of defective material.
Bokitta reserves the right to inspect the manufacture and control of the materials at the domicile of the supplier and other suppliers subcontracted to the latter. This right covers our customers in cases they may require. These controls and checks will in no case represent definitive acceptance of the supplies or conformity with the specifications of the PO.</t>
  </si>
  <si>
    <t>2.0 OQL (OQL - Outgoing Quality Level). Supplier must follow our SOPs and guides.</t>
  </si>
  <si>
    <t>Inspection Requirements: 2.0 OQL DEFECT FREE PRODUCT</t>
  </si>
  <si>
    <t>SHIPPING CARTON TINY</t>
  </si>
  <si>
    <t>Regular duty carton box for shipping. Should handle at least 10 pieces and approximate load is up to 3 kg</t>
  </si>
  <si>
    <t>36x22x22</t>
  </si>
  <si>
    <t>\Packs and Tags\Shipping Carton\Standard and Premium Hijabs\SMALL CARTON 36X22X22</t>
  </si>
  <si>
    <t>36x22x21</t>
  </si>
  <si>
    <t xml:space="preserve">Pique fabric 100% cotton ,160 gsm </t>
  </si>
  <si>
    <t>PQ Cotton 160</t>
  </si>
  <si>
    <t>M13-Voila</t>
  </si>
  <si>
    <t>M13g-VoilaGirls</t>
  </si>
  <si>
    <t>M13m-VoilaMaxi</t>
  </si>
  <si>
    <t>or</t>
  </si>
  <si>
    <t xml:space="preserve">Twill fabric 100% cotton ,160 gsm </t>
  </si>
  <si>
    <t>Twill Cotton 160</t>
  </si>
  <si>
    <t>100% polyester Marble  Chiffon, 60 gsm</t>
  </si>
  <si>
    <t>100% polyester Marble Butti Chiffon, 72 gsm</t>
  </si>
  <si>
    <t>100% polyester Swiss Dot Chiffon, 35 gsm</t>
  </si>
  <si>
    <t>100% polyester Striped Georgette, 60 gsm</t>
  </si>
  <si>
    <t>Mosaic Chiffon</t>
  </si>
  <si>
    <t>Mosaic Butti Chiffon</t>
  </si>
  <si>
    <t>Swiss Dot Chiffon</t>
  </si>
  <si>
    <t>Striped Georgette</t>
  </si>
  <si>
    <t>Crinkled Butti Chiffon</t>
  </si>
  <si>
    <t>All Tshirts</t>
  </si>
  <si>
    <t>S/Jersey: 100% organic cotton, 30's, 160 for dark olours &amp; 180 for light colours</t>
  </si>
  <si>
    <t>organic cotton 30s</t>
  </si>
  <si>
    <t>Extra drop</t>
  </si>
  <si>
    <t>Simple drop</t>
  </si>
  <si>
    <t>side knot w/zip</t>
  </si>
  <si>
    <t>Ruffle slv</t>
  </si>
  <si>
    <t>Nursing</t>
  </si>
  <si>
    <t>Extra drop Longer</t>
  </si>
  <si>
    <t>Supplier:</t>
  </si>
  <si>
    <t>Crepe Chiffon</t>
  </si>
  <si>
    <t>Crepe Chiffon 75</t>
  </si>
  <si>
    <t>100% polyester Crepe Chiffon printed or plain, 75-80 gsm</t>
  </si>
  <si>
    <t>Chiffon</t>
  </si>
  <si>
    <t xml:space="preserve">100% polyester Crinkled Chiffon printed or plain, 55 gsm </t>
  </si>
  <si>
    <t>100% polyester Crinkled Butti Chiffon, 55 gsm</t>
  </si>
  <si>
    <t>100% polyester Twill Satin printed or plain, 90 gsm</t>
  </si>
  <si>
    <t>100% polyester Georgette printed or plain, 100 gsm</t>
  </si>
  <si>
    <t>Twill Satin 90</t>
  </si>
  <si>
    <t>Georgette 100</t>
  </si>
  <si>
    <t>LINING FABRIC for M7</t>
  </si>
  <si>
    <t>Tassle M7. One piece per scarf.</t>
  </si>
  <si>
    <t>M7 - Jolie</t>
  </si>
  <si>
    <t>Bill Of Material for Jolie</t>
  </si>
  <si>
    <t>Supplier name</t>
  </si>
  <si>
    <t>Supplier email</t>
  </si>
  <si>
    <t>Pre Prodcution Meeting Report</t>
  </si>
  <si>
    <t xml:space="preserve">100% Pieces Inspection with defect free product </t>
  </si>
  <si>
    <t>Approval of Lining and Jersey Fabric FOB used in product</t>
  </si>
  <si>
    <t>Release date</t>
  </si>
  <si>
    <t>CAD Release: Submission of Artworks and accessories specification by Bokitta team</t>
  </si>
  <si>
    <t>Submission of Digital Printed Strike off/Lab dips for each item</t>
  </si>
  <si>
    <t>Submission of certified production freindly fabric quality for approval for each item</t>
  </si>
  <si>
    <t xml:space="preserve">1st Submission of Shell fabric table print  Strike off/Lab dips for each item in PO. </t>
  </si>
  <si>
    <t>Submission of Final APPROVED selected set of artworks/Strike offs for final PO release</t>
  </si>
  <si>
    <t>1st Submission APPROVALS of table print strike offs/lab dips</t>
  </si>
  <si>
    <t>APPROVAL of fabric quality for each item in PO</t>
  </si>
  <si>
    <t xml:space="preserve">2nd Submission of Shell fabric table print  Strike off/Lab dips for each item in PO. </t>
  </si>
  <si>
    <t>2nd Submission APPROVALS of table print strike offs/lab dips</t>
  </si>
  <si>
    <t>1st Submission of Shell FOB Printed/Dyed</t>
  </si>
  <si>
    <t>1st Submission APPROVALS of Shell FOB Printed/Dyed fabric</t>
  </si>
  <si>
    <t>2nd Submission of Shell FOB Printed/Dyed</t>
  </si>
  <si>
    <t>2nd Submission APPROVALS of Shell FOB Printed/Dyed fabric</t>
  </si>
  <si>
    <t>1st SUBMISSION of 100% Fabric Inspection Reports (see Inspection Reports sheet)</t>
  </si>
  <si>
    <t>1st SUBMISSION of Shell Fabric FOB used in product to lining and jersey mills</t>
  </si>
  <si>
    <t>SUBMISSION of Sealer Sample for each style in every fabric used in items</t>
  </si>
  <si>
    <t>Action Duration</t>
  </si>
  <si>
    <t>Received all trims and packing material - 100 % inspection</t>
  </si>
  <si>
    <t xml:space="preserve">100% Panels checking Inspection Reports </t>
  </si>
  <si>
    <t xml:space="preserve">100% Finished Item Inspection Reports </t>
  </si>
  <si>
    <t xml:space="preserve">100% Packing Inspection Reports </t>
  </si>
  <si>
    <t xml:space="preserve">100% Defect Free Product Inspection Reports </t>
  </si>
  <si>
    <t xml:space="preserve">100% Carton Count Audit Reports </t>
  </si>
  <si>
    <t>Sewing-Packing-Inspection Production Cycle Starts</t>
  </si>
  <si>
    <t>Submission of Photoshoot/FIT Sample for each style and size in actual fabrics used</t>
  </si>
  <si>
    <t>Approval of Photoshoot/FIT Sample for each style and size in actual fabrics used</t>
  </si>
  <si>
    <t>Submission of barcode labels</t>
  </si>
  <si>
    <t>PCD - Cutting start</t>
  </si>
  <si>
    <t>Pre Order</t>
  </si>
  <si>
    <t>Phase Duration - Days</t>
  </si>
  <si>
    <t>Order Release</t>
  </si>
  <si>
    <t>Processing</t>
  </si>
  <si>
    <t>Complete Production Cycle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</si>
</sst>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quot;$&quot;#,##0.00"/>
    <numFmt numFmtId="165" formatCode="yyyy/mm/dd;@"/>
    <numFmt numFmtId="166" formatCode="dd/mm/yyyy"/>
  </numFmts>
  <fonts count="91">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theme="0"/>
      <name val="Calibri"/>
      <family val="2"/>
      <scheme val="minor"/>
    </font>
    <font>
      <b/>
      <sz val="11"/>
      <color theme="1"/>
      <name val="Calibri"/>
      <family val="2"/>
      <scheme val="minor"/>
    </font>
    <font>
      <sz val="28"/>
      <color theme="1"/>
      <name val="Calibri"/>
      <family val="2"/>
    </font>
    <font>
      <b/>
      <sz val="12"/>
      <color theme="1"/>
      <name val="Calibri"/>
      <family val="2"/>
      <scheme val="minor"/>
    </font>
    <font>
      <sz val="12"/>
      <name val="Calibri"/>
      <family val="2"/>
      <scheme val="minor"/>
    </font>
    <font>
      <b/>
      <sz val="12"/>
      <color theme="1"/>
      <name val="Calibri"/>
      <family val="2"/>
    </font>
    <font>
      <sz val="11"/>
      <color rgb="FF000000"/>
      <name val="Calibri"/>
      <family val="2"/>
      <scheme val="minor"/>
    </font>
    <font>
      <sz val="10"/>
      <color rgb="FF000080"/>
      <name val="Calibri"/>
      <family val="2"/>
    </font>
    <font>
      <sz val="10"/>
      <color rgb="FF000000"/>
      <name val="Wingdings"/>
      <charset val="2"/>
    </font>
    <font>
      <sz val="12"/>
      <color indexed="8"/>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rgb="FFFA7D00"/>
      <name val="ＭＳ Ｐゴシック"/>
      <family val="2"/>
    </font>
    <font>
      <b/>
      <sz val="11"/>
      <color indexed="9"/>
      <name val="Calibri"/>
      <family val="2"/>
    </font>
    <font>
      <sz val="11"/>
      <color indexed="62"/>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1"/>
      <color theme="10"/>
      <name val="Calibri"/>
      <family val="2"/>
    </font>
    <font>
      <u/>
      <sz val="10"/>
      <color indexed="12"/>
      <name val="Arial"/>
      <family val="2"/>
    </font>
    <font>
      <sz val="11"/>
      <color indexed="52"/>
      <name val="Calibri"/>
      <family val="2"/>
    </font>
    <font>
      <sz val="11"/>
      <color indexed="60"/>
      <name val="Calibri"/>
      <family val="2"/>
    </font>
    <font>
      <sz val="10"/>
      <name val="Arial"/>
      <family val="2"/>
      <charset val="1"/>
    </font>
    <font>
      <sz val="10"/>
      <color rgb="FF000000"/>
      <name val="Arial"/>
      <family val="2"/>
    </font>
    <font>
      <sz val="10"/>
      <color indexed="8"/>
      <name val="Arial"/>
      <family val="2"/>
    </font>
    <font>
      <sz val="11"/>
      <color rgb="FF000000"/>
      <name val="Calibri"/>
      <family val="2"/>
      <charset val="204"/>
    </font>
    <font>
      <b/>
      <sz val="11"/>
      <color indexed="63"/>
      <name val="Calibri"/>
      <family val="2"/>
    </font>
    <font>
      <b/>
      <sz val="18"/>
      <color indexed="56"/>
      <name val="Cambria"/>
      <family val="2"/>
    </font>
    <font>
      <b/>
      <sz val="11"/>
      <color indexed="8"/>
      <name val="Calibri"/>
      <family val="2"/>
    </font>
    <font>
      <sz val="11"/>
      <color indexed="10"/>
      <name val="Calibri"/>
      <family val="2"/>
    </font>
    <font>
      <b/>
      <sz val="12"/>
      <name val="Calibri"/>
      <family val="2"/>
      <scheme val="minor"/>
    </font>
    <font>
      <sz val="48"/>
      <name val="Luxia"/>
      <family val="3"/>
    </font>
    <font>
      <sz val="10"/>
      <name val="Book Antiqua"/>
      <family val="1"/>
    </font>
    <font>
      <sz val="28"/>
      <color theme="1"/>
      <name val="Calibri"/>
      <family val="2"/>
      <scheme val="minor"/>
    </font>
    <font>
      <b/>
      <sz val="16"/>
      <name val="Calibri"/>
      <family val="2"/>
      <scheme val="minor"/>
    </font>
    <font>
      <b/>
      <sz val="14"/>
      <name val="Calibri"/>
      <family val="2"/>
      <scheme val="minor"/>
    </font>
    <font>
      <b/>
      <sz val="10"/>
      <name val="Arial"/>
      <family val="2"/>
    </font>
    <font>
      <sz val="11"/>
      <name val="Calibri"/>
      <family val="2"/>
      <scheme val="minor"/>
    </font>
    <font>
      <sz val="16"/>
      <color theme="1"/>
      <name val="Calibri"/>
      <family val="2"/>
      <scheme val="minor"/>
    </font>
    <font>
      <u/>
      <sz val="11"/>
      <color theme="10"/>
      <name val="Calibri"/>
      <family val="2"/>
      <scheme val="minor"/>
    </font>
    <font>
      <b/>
      <sz val="8"/>
      <color theme="1"/>
      <name val="Calibri"/>
      <family val="2"/>
      <scheme val="minor"/>
    </font>
    <font>
      <b/>
      <sz val="22"/>
      <name val="Calibri"/>
      <family val="2"/>
      <scheme val="minor"/>
    </font>
    <font>
      <sz val="10"/>
      <name val="Calibri"/>
      <family val="2"/>
      <scheme val="minor"/>
    </font>
    <font>
      <sz val="16"/>
      <name val="Calibri"/>
      <family val="2"/>
      <scheme val="minor"/>
    </font>
    <font>
      <sz val="11"/>
      <color rgb="FF222222"/>
      <name val="Calibri"/>
      <family val="2"/>
      <scheme val="minor"/>
    </font>
    <font>
      <b/>
      <sz val="16"/>
      <color theme="1"/>
      <name val="Calibri"/>
      <family val="2"/>
      <scheme val="minor"/>
    </font>
    <font>
      <b/>
      <sz val="11"/>
      <name val="Calibri"/>
      <family val="2"/>
      <scheme val="minor"/>
    </font>
    <font>
      <b/>
      <sz val="18"/>
      <name val="Calibri"/>
      <family val="2"/>
      <scheme val="minor"/>
    </font>
    <font>
      <b/>
      <sz val="9"/>
      <name val="Calibri"/>
      <family val="2"/>
      <scheme val="minor"/>
    </font>
    <font>
      <b/>
      <sz val="8"/>
      <name val="Calibri"/>
      <family val="2"/>
      <scheme val="minor"/>
    </font>
    <font>
      <b/>
      <sz val="10"/>
      <name val="Calibri"/>
      <family val="2"/>
      <scheme val="minor"/>
    </font>
    <font>
      <sz val="20"/>
      <name val="Calibri"/>
      <family val="2"/>
      <scheme val="minor"/>
    </font>
    <font>
      <sz val="10"/>
      <color rgb="FF0B5394"/>
      <name val="Calibri"/>
      <family val="2"/>
      <scheme val="minor"/>
    </font>
    <font>
      <sz val="13.5"/>
      <color rgb="FF0B5394"/>
      <name val="Calibri"/>
      <family val="2"/>
      <scheme val="minor"/>
    </font>
    <font>
      <sz val="14"/>
      <color rgb="FF0B5394"/>
      <name val="Calibri"/>
      <family val="2"/>
      <scheme val="minor"/>
    </font>
    <font>
      <b/>
      <sz val="10"/>
      <color theme="4"/>
      <name val="Calibri"/>
      <family val="2"/>
      <scheme val="minor"/>
    </font>
    <font>
      <b/>
      <sz val="10"/>
      <color rgb="FF5F497A"/>
      <name val="Calibri"/>
      <family val="2"/>
      <scheme val="minor"/>
    </font>
    <font>
      <b/>
      <sz val="48"/>
      <color theme="1"/>
      <name val="Luxia"/>
      <family val="3"/>
    </font>
    <font>
      <b/>
      <sz val="22"/>
      <color theme="1"/>
      <name val="Calibri"/>
      <family val="2"/>
      <scheme val="minor"/>
    </font>
    <font>
      <b/>
      <sz val="12"/>
      <color rgb="FFFF0000"/>
      <name val="Calibri"/>
      <family val="2"/>
      <scheme val="minor"/>
    </font>
    <font>
      <sz val="14"/>
      <color theme="1"/>
      <name val="Calibri"/>
      <family val="2"/>
      <scheme val="minor"/>
    </font>
    <font>
      <sz val="8"/>
      <name val="Calibri"/>
      <family val="2"/>
      <scheme val="minor"/>
    </font>
    <font>
      <sz val="8"/>
      <color rgb="FF000000"/>
      <name val="Calibri"/>
      <family val="2"/>
      <scheme val="minor"/>
    </font>
    <font>
      <u/>
      <sz val="8"/>
      <color theme="10"/>
      <name val="Calibri"/>
      <family val="2"/>
      <scheme val="minor"/>
    </font>
    <font>
      <u/>
      <sz val="8"/>
      <name val="Calibri"/>
      <family val="2"/>
      <scheme val="minor"/>
    </font>
    <font>
      <sz val="8"/>
      <color theme="1"/>
      <name val="Calibri"/>
      <family val="2"/>
      <scheme val="minor"/>
    </font>
    <font>
      <sz val="8"/>
      <color rgb="FF222222"/>
      <name val="Calibri"/>
      <family val="2"/>
      <scheme val="minor"/>
    </font>
    <font>
      <sz val="13.5"/>
      <color rgb="FF0B5394"/>
      <name val="Arial"/>
      <family val="2"/>
    </font>
    <font>
      <b/>
      <sz val="18"/>
      <color theme="1"/>
      <name val="Calibri"/>
      <family val="2"/>
      <scheme val="minor"/>
    </font>
    <font>
      <b/>
      <i/>
      <u/>
      <sz val="16"/>
      <color rgb="FF0070C0"/>
      <name val="Times New Roman"/>
      <family val="1"/>
    </font>
    <font>
      <sz val="14"/>
      <color rgb="FF000000"/>
      <name val="Times New Roman"/>
      <family val="1"/>
    </font>
    <font>
      <b/>
      <sz val="14"/>
      <color theme="1"/>
      <name val="Calibri"/>
      <family val="2"/>
      <scheme val="minor"/>
    </font>
    <font>
      <sz val="9"/>
      <color theme="1"/>
      <name val="Calibri"/>
      <family val="2"/>
      <scheme val="minor"/>
    </font>
    <font>
      <sz val="10"/>
      <color theme="1"/>
      <name val="Calibri"/>
      <family val="2"/>
      <scheme val="minor"/>
    </font>
    <font>
      <b/>
      <sz val="10"/>
      <color theme="1"/>
      <name val="Luxia"/>
      <family val="3"/>
    </font>
    <font>
      <b/>
      <sz val="24"/>
      <color theme="1"/>
      <name val="Calibri"/>
      <family val="2"/>
      <scheme val="minor"/>
    </font>
    <font>
      <u/>
      <sz val="9"/>
      <color theme="10"/>
      <name val="Calibri"/>
      <family val="2"/>
      <scheme val="minor"/>
    </font>
    <font>
      <b/>
      <sz val="20"/>
      <color rgb="FFFF0000"/>
      <name val="Calibri"/>
      <family val="2"/>
      <scheme val="minor"/>
    </font>
    <font>
      <sz val="20"/>
      <color theme="1"/>
      <name val="Calibri"/>
      <family val="2"/>
      <scheme val="minor"/>
    </font>
    <font>
      <sz val="20"/>
      <color rgb="FF5F497A"/>
      <name val="Calibri"/>
      <family val="2"/>
      <scheme val="minor"/>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7"/>
        <bgColor indexed="32"/>
      </patternFill>
    </fill>
    <fill>
      <patternFill patternType="solid">
        <fgColor indexed="47"/>
        <bgColor indexed="54"/>
      </patternFill>
    </fill>
    <fill>
      <patternFill patternType="solid">
        <fgColor indexed="43"/>
      </patternFill>
    </fill>
    <fill>
      <patternFill patternType="solid">
        <fgColor indexed="26"/>
      </patternFill>
    </fill>
    <fill>
      <patternFill patternType="solid">
        <fgColor theme="6" tint="0.59999389629810485"/>
        <bgColor indexed="64"/>
      </patternFill>
    </fill>
    <fill>
      <patternFill patternType="solid">
        <fgColor rgb="FF92D05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FF0000"/>
        <bgColor indexed="64"/>
      </patternFill>
    </fill>
    <fill>
      <patternFill patternType="solid">
        <fgColor theme="6" tint="0.39997558519241921"/>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FF00"/>
        <bgColor indexed="64"/>
      </patternFill>
    </fill>
    <fill>
      <patternFill patternType="solid">
        <fgColor indexed="22"/>
        <bgColor indexed="64"/>
      </patternFill>
    </fill>
    <fill>
      <patternFill patternType="solid">
        <fgColor indexed="9"/>
        <bgColor indexed="9"/>
      </patternFill>
    </fill>
    <fill>
      <patternFill patternType="solid">
        <fgColor theme="0"/>
        <bgColor indexed="9"/>
      </patternFill>
    </fill>
    <fill>
      <patternFill patternType="solid">
        <fgColor theme="9" tint="0.59999389629810485"/>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3" tint="0.79998168889431442"/>
        <bgColor indexed="64"/>
      </patternFill>
    </fill>
  </fills>
  <borders count="76">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auto="1"/>
      </right>
      <top style="thin">
        <color indexed="64"/>
      </top>
      <bottom style="thin">
        <color indexed="64"/>
      </bottom>
      <diagonal/>
    </border>
    <border>
      <left/>
      <right style="thin">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style="medium">
        <color indexed="64"/>
      </right>
      <top style="thin">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auto="1"/>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auto="1"/>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auto="1"/>
      </right>
      <top/>
      <bottom/>
      <diagonal/>
    </border>
    <border>
      <left style="thin">
        <color indexed="64"/>
      </left>
      <right style="thin">
        <color auto="1"/>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200">
    <xf numFmtId="0" fontId="0" fillId="0" borderId="0"/>
    <xf numFmtId="0" fontId="5" fillId="5" borderId="1" applyNumberFormat="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9" borderId="0" applyNumberFormat="0" applyBorder="0" applyAlignment="0" applyProtection="0"/>
    <xf numFmtId="0" fontId="16" fillId="19" borderId="0" applyNumberFormat="0" applyBorder="0" applyAlignment="0" applyProtection="0"/>
    <xf numFmtId="0" fontId="16" fillId="19" borderId="0" applyNumberFormat="0" applyBorder="0" applyAlignment="0" applyProtection="0"/>
    <xf numFmtId="0" fontId="16" fillId="19" borderId="0" applyNumberFormat="0" applyBorder="0" applyAlignment="0" applyProtection="0"/>
    <xf numFmtId="0" fontId="16" fillId="19" borderId="0" applyNumberFormat="0" applyBorder="0" applyAlignment="0" applyProtection="0"/>
    <xf numFmtId="0" fontId="16" fillId="19"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7" fillId="27" borderId="0" applyNumberFormat="0" applyBorder="0" applyAlignment="0" applyProtection="0"/>
    <xf numFmtId="0" fontId="18" fillId="11" borderId="0" applyNumberFormat="0" applyBorder="0" applyAlignment="0" applyProtection="0"/>
    <xf numFmtId="0" fontId="3" fillId="3" borderId="0" applyNumberFormat="0" applyBorder="0" applyAlignment="0" applyProtection="0"/>
    <xf numFmtId="0" fontId="18" fillId="11" borderId="0" applyNumberFormat="0" applyBorder="0" applyAlignment="0" applyProtection="0"/>
    <xf numFmtId="0" fontId="18" fillId="11" borderId="0" applyNumberFormat="0" applyBorder="0" applyAlignment="0" applyProtection="0"/>
    <xf numFmtId="0" fontId="19" fillId="28" borderId="15" applyNumberFormat="0" applyAlignment="0" applyProtection="0"/>
    <xf numFmtId="0" fontId="19" fillId="28" borderId="15" applyNumberFormat="0" applyAlignment="0" applyProtection="0"/>
    <xf numFmtId="0" fontId="19" fillId="28" borderId="15" applyNumberFormat="0" applyAlignment="0" applyProtection="0"/>
    <xf numFmtId="0" fontId="20" fillId="6" borderId="1" applyNumberFormat="0" applyAlignment="0" applyProtection="0"/>
    <xf numFmtId="0" fontId="21" fillId="29" borderId="16" applyNumberFormat="0" applyAlignment="0" applyProtection="0"/>
    <xf numFmtId="0" fontId="6" fillId="7" borderId="2" applyNumberFormat="0" applyAlignment="0" applyProtection="0"/>
    <xf numFmtId="0" fontId="21" fillId="29" borderId="16" applyNumberFormat="0" applyAlignment="0" applyProtection="0"/>
    <xf numFmtId="0" fontId="21" fillId="29" borderId="16" applyNumberFormat="0" applyAlignment="0" applyProtection="0"/>
    <xf numFmtId="44" fontId="1" fillId="0" borderId="0" applyFont="0" applyFill="0" applyBorder="0" applyAlignment="0" applyProtection="0"/>
    <xf numFmtId="0" fontId="22" fillId="30" borderId="15" applyNumberFormat="0" applyAlignment="0" applyProtection="0"/>
    <xf numFmtId="0" fontId="22" fillId="31" borderId="15"/>
    <xf numFmtId="0" fontId="16" fillId="0" borderId="0"/>
    <xf numFmtId="0" fontId="16" fillId="0" borderId="0"/>
    <xf numFmtId="0" fontId="16" fillId="0" borderId="0"/>
    <xf numFmtId="0" fontId="23" fillId="0" borderId="0"/>
    <xf numFmtId="0" fontId="16" fillId="0" borderId="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5" fillId="12" borderId="0" applyNumberFormat="0" applyBorder="0" applyAlignment="0" applyProtection="0"/>
    <xf numFmtId="0" fontId="2" fillId="2" borderId="0" applyNumberFormat="0" applyBorder="0" applyAlignment="0" applyProtection="0"/>
    <xf numFmtId="0" fontId="25" fillId="12" borderId="0" applyNumberFormat="0" applyBorder="0" applyAlignment="0" applyProtection="0"/>
    <xf numFmtId="0" fontId="25" fillId="12" borderId="0" applyNumberFormat="0" applyBorder="0" applyAlignment="0" applyProtection="0"/>
    <xf numFmtId="0" fontId="26" fillId="0" borderId="17" applyNumberFormat="0" applyFill="0" applyAlignment="0" applyProtection="0"/>
    <xf numFmtId="0" fontId="26" fillId="0" borderId="17" applyNumberFormat="0" applyFill="0" applyAlignment="0" applyProtection="0"/>
    <xf numFmtId="0" fontId="26" fillId="0" borderId="17" applyNumberFormat="0" applyFill="0" applyAlignment="0" applyProtection="0"/>
    <xf numFmtId="0" fontId="27" fillId="0" borderId="18" applyNumberFormat="0" applyFill="0" applyAlignment="0" applyProtection="0"/>
    <xf numFmtId="0" fontId="27" fillId="0" borderId="18" applyNumberFormat="0" applyFill="0" applyAlignment="0" applyProtection="0"/>
    <xf numFmtId="0" fontId="27" fillId="0" borderId="18" applyNumberFormat="0" applyFill="0" applyAlignment="0" applyProtection="0"/>
    <xf numFmtId="0" fontId="28" fillId="0" borderId="19" applyNumberFormat="0" applyFill="0" applyAlignment="0" applyProtection="0"/>
    <xf numFmtId="0" fontId="28" fillId="0" borderId="19" applyNumberFormat="0" applyFill="0" applyAlignment="0" applyProtection="0"/>
    <xf numFmtId="0" fontId="28" fillId="0" borderId="19" applyNumberFormat="0" applyFill="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22" fillId="15" borderId="15" applyNumberFormat="0" applyAlignment="0" applyProtection="0"/>
    <xf numFmtId="0" fontId="5" fillId="5" borderId="1" applyNumberFormat="0" applyAlignment="0" applyProtection="0"/>
    <xf numFmtId="0" fontId="22" fillId="15" borderId="15" applyNumberFormat="0" applyAlignment="0" applyProtection="0"/>
    <xf numFmtId="0" fontId="22" fillId="15" borderId="15" applyNumberFormat="0" applyAlignment="0" applyProtection="0"/>
    <xf numFmtId="0" fontId="31" fillId="0" borderId="20" applyNumberFormat="0" applyFill="0" applyAlignment="0" applyProtection="0"/>
    <xf numFmtId="0" fontId="31" fillId="0" borderId="20" applyNumberFormat="0" applyFill="0" applyAlignment="0" applyProtection="0"/>
    <xf numFmtId="0" fontId="31" fillId="0" borderId="20" applyNumberFormat="0" applyFill="0" applyAlignment="0" applyProtection="0"/>
    <xf numFmtId="0" fontId="32" fillId="32" borderId="0" applyNumberFormat="0" applyBorder="0" applyAlignment="0" applyProtection="0"/>
    <xf numFmtId="0" fontId="4" fillId="4" borderId="0" applyNumberFormat="0" applyBorder="0" applyAlignment="0" applyProtection="0"/>
    <xf numFmtId="0" fontId="32" fillId="32" borderId="0" applyNumberFormat="0" applyBorder="0" applyAlignment="0" applyProtection="0"/>
    <xf numFmtId="0" fontId="32" fillId="32" borderId="0" applyNumberFormat="0" applyBorder="0" applyAlignment="0" applyProtection="0"/>
    <xf numFmtId="0" fontId="23" fillId="0" borderId="0"/>
    <xf numFmtId="0" fontId="23" fillId="0" borderId="0"/>
    <xf numFmtId="0" fontId="1" fillId="0" borderId="0"/>
    <xf numFmtId="0" fontId="33" fillId="0" borderId="0"/>
    <xf numFmtId="0" fontId="23" fillId="0" borderId="0"/>
    <xf numFmtId="0" fontId="23" fillId="0" borderId="0"/>
    <xf numFmtId="0" fontId="34" fillId="0" borderId="0"/>
    <xf numFmtId="0" fontId="35" fillId="0" borderId="0"/>
    <xf numFmtId="0" fontId="34" fillId="0" borderId="0"/>
    <xf numFmtId="0" fontId="23" fillId="0" borderId="0"/>
    <xf numFmtId="0" fontId="34" fillId="0" borderId="0"/>
    <xf numFmtId="0" fontId="36" fillId="0" borderId="0"/>
    <xf numFmtId="0" fontId="23" fillId="0" borderId="0"/>
    <xf numFmtId="0" fontId="1" fillId="0" borderId="0"/>
    <xf numFmtId="0" fontId="1" fillId="0" borderId="0"/>
    <xf numFmtId="0" fontId="16" fillId="33" borderId="21" applyNumberFormat="0" applyFont="0" applyAlignment="0" applyProtection="0"/>
    <xf numFmtId="0" fontId="23" fillId="8" borderId="3" applyNumberFormat="0" applyFont="0" applyAlignment="0" applyProtection="0"/>
    <xf numFmtId="0" fontId="16" fillId="33" borderId="21" applyNumberFormat="0" applyFont="0" applyAlignment="0" applyProtection="0"/>
    <xf numFmtId="0" fontId="16" fillId="33" borderId="21" applyNumberFormat="0" applyFont="0" applyAlignment="0" applyProtection="0"/>
    <xf numFmtId="0" fontId="16" fillId="33" borderId="21" applyNumberFormat="0" applyFont="0" applyAlignment="0" applyProtection="0"/>
    <xf numFmtId="0" fontId="16" fillId="33" borderId="21" applyNumberFormat="0" applyFont="0" applyAlignment="0" applyProtection="0"/>
    <xf numFmtId="0" fontId="16" fillId="33" borderId="21" applyNumberFormat="0" applyFont="0" applyAlignment="0" applyProtection="0"/>
    <xf numFmtId="0" fontId="37" fillId="28" borderId="22" applyNumberFormat="0" applyAlignment="0" applyProtection="0"/>
    <xf numFmtId="0" fontId="37" fillId="28" borderId="22" applyNumberFormat="0" applyAlignment="0" applyProtection="0"/>
    <xf numFmtId="0" fontId="37" fillId="28" borderId="22" applyNumberFormat="0" applyAlignment="0" applyProtection="0"/>
    <xf numFmtId="0" fontId="35" fillId="0" borderId="0">
      <alignment vertical="top"/>
    </xf>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9" fillId="0" borderId="23" applyNumberFormat="0" applyFill="0" applyAlignment="0" applyProtection="0"/>
    <xf numFmtId="0" fontId="39" fillId="0" borderId="23" applyNumberFormat="0" applyFill="0" applyAlignment="0" applyProtection="0"/>
    <xf numFmtId="0" fontId="39" fillId="0" borderId="23"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50" fillId="0" borderId="0" applyNumberFormat="0" applyFill="0" applyBorder="0" applyAlignment="0" applyProtection="0"/>
    <xf numFmtId="0" fontId="35" fillId="0" borderId="0">
      <alignment vertical="top"/>
    </xf>
    <xf numFmtId="0" fontId="1" fillId="0" borderId="0"/>
  </cellStyleXfs>
  <cellXfs count="616">
    <xf numFmtId="0" fontId="0" fillId="0" borderId="0" xfId="0"/>
    <xf numFmtId="2" fontId="0" fillId="0" borderId="0" xfId="0" applyNumberFormat="1"/>
    <xf numFmtId="0" fontId="0" fillId="0" borderId="0" xfId="0" applyAlignment="1">
      <alignment vertical="top"/>
    </xf>
    <xf numFmtId="0" fontId="9" fillId="0" borderId="0" xfId="0" applyFont="1"/>
    <xf numFmtId="2" fontId="9" fillId="0" borderId="0" xfId="0" applyNumberFormat="1" applyFont="1"/>
    <xf numFmtId="0" fontId="7" fillId="0" borderId="0" xfId="0" applyFont="1" applyAlignment="1">
      <alignment horizontal="left" vertical="top"/>
    </xf>
    <xf numFmtId="0" fontId="0" fillId="0" borderId="0" xfId="0" applyAlignment="1">
      <alignment horizontal="left" vertical="top"/>
    </xf>
    <xf numFmtId="164" fontId="5" fillId="0" borderId="0" xfId="1" applyNumberFormat="1" applyFill="1" applyBorder="1" applyAlignment="1">
      <alignment vertical="top"/>
    </xf>
    <xf numFmtId="0" fontId="43" fillId="0" borderId="0" xfId="0" applyFont="1" applyAlignment="1">
      <alignment vertical="center"/>
    </xf>
    <xf numFmtId="0" fontId="43" fillId="0" borderId="0" xfId="0" applyFont="1" applyAlignment="1">
      <alignment horizontal="center" vertical="center"/>
    </xf>
    <xf numFmtId="0" fontId="45" fillId="0" borderId="13" xfId="0" applyFont="1" applyBorder="1" applyAlignment="1">
      <alignment horizontal="center" wrapText="1"/>
    </xf>
    <xf numFmtId="14" fontId="47" fillId="0" borderId="13" xfId="162" applyNumberFormat="1" applyFont="1" applyBorder="1" applyAlignment="1">
      <alignment horizontal="center"/>
    </xf>
    <xf numFmtId="14" fontId="23" fillId="0" borderId="0" xfId="162" applyNumberFormat="1"/>
    <xf numFmtId="14" fontId="33" fillId="0" borderId="0" xfId="165" applyNumberFormat="1"/>
    <xf numFmtId="0" fontId="23" fillId="0" borderId="0" xfId="162"/>
    <xf numFmtId="166" fontId="48" fillId="0" borderId="13" xfId="0" applyNumberFormat="1" applyFont="1" applyBorder="1"/>
    <xf numFmtId="0" fontId="0" fillId="0" borderId="30" xfId="0" applyBorder="1"/>
    <xf numFmtId="0" fontId="0" fillId="0" borderId="0" xfId="0" applyAlignment="1">
      <alignment horizontal="center"/>
    </xf>
    <xf numFmtId="1" fontId="0" fillId="0" borderId="0" xfId="0" applyNumberFormat="1"/>
    <xf numFmtId="0" fontId="52" fillId="0" borderId="29" xfId="162" applyFont="1" applyBorder="1" applyAlignment="1">
      <alignment horizontal="center" vertical="center"/>
    </xf>
    <xf numFmtId="0" fontId="53" fillId="0" borderId="13" xfId="162" applyFont="1" applyBorder="1" applyAlignment="1">
      <alignment horizontal="center" vertical="center"/>
    </xf>
    <xf numFmtId="49" fontId="10" fillId="0" borderId="13" xfId="162" applyNumberFormat="1" applyFont="1" applyBorder="1" applyAlignment="1">
      <alignment horizontal="center" vertical="center" wrapText="1"/>
    </xf>
    <xf numFmtId="14" fontId="10" fillId="0" borderId="13" xfId="162" applyNumberFormat="1" applyFont="1" applyBorder="1" applyAlignment="1">
      <alignment horizontal="center" vertical="center" wrapText="1"/>
    </xf>
    <xf numFmtId="1" fontId="10" fillId="0" borderId="13" xfId="162" applyNumberFormat="1" applyFont="1" applyBorder="1" applyAlignment="1">
      <alignment horizontal="center" vertical="center"/>
    </xf>
    <xf numFmtId="0" fontId="42" fillId="0" borderId="0" xfId="0" applyFont="1" applyAlignment="1">
      <alignment vertical="center"/>
    </xf>
    <xf numFmtId="0" fontId="55" fillId="0" borderId="13" xfId="0" applyFont="1" applyBorder="1" applyAlignment="1">
      <alignment vertical="center"/>
    </xf>
    <xf numFmtId="0" fontId="0" fillId="0" borderId="13" xfId="0" applyBorder="1" applyAlignment="1">
      <alignment horizontal="center" vertical="center"/>
    </xf>
    <xf numFmtId="14" fontId="0" fillId="0" borderId="13" xfId="0" applyNumberFormat="1" applyBorder="1"/>
    <xf numFmtId="0" fontId="0" fillId="0" borderId="13" xfId="0" applyBorder="1"/>
    <xf numFmtId="14" fontId="48" fillId="0" borderId="13" xfId="0" applyNumberFormat="1" applyFont="1" applyBorder="1" applyAlignment="1">
      <alignment horizontal="center" vertical="center"/>
    </xf>
    <xf numFmtId="14" fontId="48" fillId="36" borderId="29" xfId="0" applyNumberFormat="1" applyFont="1" applyFill="1" applyBorder="1" applyAlignment="1">
      <alignment horizontal="center" vertical="center"/>
    </xf>
    <xf numFmtId="49" fontId="57" fillId="0" borderId="29" xfId="162" applyNumberFormat="1" applyFont="1" applyBorder="1" applyAlignment="1">
      <alignment horizontal="center" vertical="center"/>
    </xf>
    <xf numFmtId="14" fontId="57" fillId="0" borderId="29" xfId="162" applyNumberFormat="1" applyFont="1" applyBorder="1" applyAlignment="1">
      <alignment horizontal="center" vertical="center"/>
    </xf>
    <xf numFmtId="1" fontId="57" fillId="0" borderId="29" xfId="162" applyNumberFormat="1" applyFont="1" applyBorder="1" applyAlignment="1">
      <alignment horizontal="center" vertical="center"/>
    </xf>
    <xf numFmtId="1" fontId="48" fillId="0" borderId="13" xfId="0" applyNumberFormat="1" applyFont="1" applyBorder="1"/>
    <xf numFmtId="1" fontId="0" fillId="0" borderId="13" xfId="0" applyNumberFormat="1" applyBorder="1"/>
    <xf numFmtId="166" fontId="0" fillId="0" borderId="13" xfId="0" applyNumberFormat="1" applyBorder="1"/>
    <xf numFmtId="0" fontId="0" fillId="0" borderId="27" xfId="0" applyBorder="1"/>
    <xf numFmtId="0" fontId="0" fillId="35" borderId="0" xfId="0" applyFill="1"/>
    <xf numFmtId="0" fontId="58" fillId="0" borderId="29" xfId="162" applyFont="1" applyBorder="1" applyAlignment="1">
      <alignment horizontal="center" vertical="center"/>
    </xf>
    <xf numFmtId="0" fontId="57" fillId="0" borderId="13" xfId="0" applyFont="1" applyBorder="1" applyAlignment="1">
      <alignment horizontal="center" vertical="center" wrapText="1"/>
    </xf>
    <xf numFmtId="49" fontId="59" fillId="0" borderId="29" xfId="162" applyNumberFormat="1" applyFont="1" applyBorder="1" applyAlignment="1">
      <alignment horizontal="center" vertical="center"/>
    </xf>
    <xf numFmtId="14" fontId="60" fillId="0" borderId="29" xfId="162" applyNumberFormat="1" applyFont="1" applyBorder="1" applyAlignment="1">
      <alignment horizontal="center" vertical="center" wrapText="1"/>
    </xf>
    <xf numFmtId="1" fontId="59" fillId="0" borderId="29" xfId="162" applyNumberFormat="1" applyFont="1" applyBorder="1" applyAlignment="1">
      <alignment horizontal="center" vertical="center" wrapText="1"/>
    </xf>
    <xf numFmtId="14" fontId="53" fillId="0" borderId="13" xfId="162" applyNumberFormat="1" applyFont="1" applyBorder="1" applyAlignment="1">
      <alignment horizontal="left" vertical="center"/>
    </xf>
    <xf numFmtId="14" fontId="61" fillId="0" borderId="13" xfId="162" applyNumberFormat="1" applyFont="1" applyBorder="1" applyAlignment="1">
      <alignment horizontal="center"/>
    </xf>
    <xf numFmtId="166" fontId="53" fillId="0" borderId="13" xfId="162" applyNumberFormat="1" applyFont="1" applyBorder="1"/>
    <xf numFmtId="1" fontId="53" fillId="0" borderId="30" xfId="162" applyNumberFormat="1" applyFont="1" applyBorder="1"/>
    <xf numFmtId="0" fontId="53" fillId="0" borderId="30" xfId="162" applyFont="1" applyBorder="1"/>
    <xf numFmtId="14" fontId="48" fillId="0" borderId="13" xfId="162" applyNumberFormat="1" applyFont="1" applyBorder="1" applyAlignment="1">
      <alignment horizontal="left" vertical="center"/>
    </xf>
    <xf numFmtId="0" fontId="63" fillId="0" borderId="30" xfId="0" applyFont="1" applyBorder="1" applyAlignment="1">
      <alignment wrapText="1"/>
    </xf>
    <xf numFmtId="0" fontId="64" fillId="0" borderId="30" xfId="0" applyFont="1" applyBorder="1"/>
    <xf numFmtId="0" fontId="65" fillId="0" borderId="30" xfId="0" applyFont="1" applyBorder="1"/>
    <xf numFmtId="1" fontId="66" fillId="0" borderId="30" xfId="162" applyNumberFormat="1" applyFont="1" applyBorder="1"/>
    <xf numFmtId="14" fontId="53" fillId="0" borderId="13" xfId="162" applyNumberFormat="1" applyFont="1" applyBorder="1" applyAlignment="1">
      <alignment vertical="center"/>
    </xf>
    <xf numFmtId="14" fontId="61" fillId="0" borderId="13" xfId="162" applyNumberFormat="1" applyFont="1" applyBorder="1" applyAlignment="1">
      <alignment horizontal="center" vertical="center"/>
    </xf>
    <xf numFmtId="0" fontId="53" fillId="0" borderId="13" xfId="162" applyFont="1" applyBorder="1"/>
    <xf numFmtId="0" fontId="67" fillId="40" borderId="34" xfId="0" applyFont="1" applyFill="1" applyBorder="1" applyAlignment="1">
      <alignment vertical="center" wrapText="1"/>
    </xf>
    <xf numFmtId="1" fontId="46" fillId="0" borderId="13" xfId="162" applyNumberFormat="1" applyFont="1" applyBorder="1" applyAlignment="1">
      <alignment horizontal="center" vertical="center"/>
    </xf>
    <xf numFmtId="14" fontId="41" fillId="0" borderId="13" xfId="162" applyNumberFormat="1" applyFont="1" applyBorder="1" applyAlignment="1">
      <alignment horizontal="center" vertical="center" wrapText="1"/>
    </xf>
    <xf numFmtId="0" fontId="69" fillId="0" borderId="46" xfId="0" applyFont="1" applyBorder="1"/>
    <xf numFmtId="0" fontId="69" fillId="0" borderId="47" xfId="0" applyFont="1" applyBorder="1" applyAlignment="1">
      <alignment horizontal="center"/>
    </xf>
    <xf numFmtId="0" fontId="56" fillId="0" borderId="48" xfId="0" applyFont="1" applyBorder="1" applyAlignment="1">
      <alignment wrapText="1"/>
    </xf>
    <xf numFmtId="0" fontId="49" fillId="0" borderId="29" xfId="0" applyFont="1" applyBorder="1" applyAlignment="1">
      <alignment horizontal="left" vertical="top"/>
    </xf>
    <xf numFmtId="15" fontId="0" fillId="0" borderId="13" xfId="0" applyNumberFormat="1" applyBorder="1" applyAlignment="1">
      <alignment horizontal="left" vertical="top" wrapText="1"/>
    </xf>
    <xf numFmtId="0" fontId="0" fillId="0" borderId="13" xfId="0" applyBorder="1" applyAlignment="1">
      <alignment horizontal="left" vertical="top" wrapText="1"/>
    </xf>
    <xf numFmtId="0" fontId="49" fillId="0" borderId="29" xfId="0" applyFont="1" applyBorder="1" applyAlignment="1">
      <alignment horizontal="left" vertical="top" wrapText="1"/>
    </xf>
    <xf numFmtId="0" fontId="70" fillId="0" borderId="13" xfId="0" applyFont="1" applyBorder="1" applyAlignment="1">
      <alignment horizontal="left" vertical="top" wrapText="1"/>
    </xf>
    <xf numFmtId="0" fontId="71" fillId="0" borderId="13" xfId="0" applyFont="1" applyBorder="1" applyAlignment="1">
      <alignment horizontal="left" vertical="top" wrapText="1"/>
    </xf>
    <xf numFmtId="0" fontId="49" fillId="0" borderId="0" xfId="0" applyFont="1"/>
    <xf numFmtId="0" fontId="53" fillId="0" borderId="41" xfId="0" applyFont="1" applyBorder="1" applyAlignment="1">
      <alignment horizontal="center" vertical="center"/>
    </xf>
    <xf numFmtId="0" fontId="45" fillId="0" borderId="13" xfId="0" applyFont="1" applyBorder="1" applyAlignment="1">
      <alignment horizontal="center" vertical="center"/>
    </xf>
    <xf numFmtId="1" fontId="59" fillId="0" borderId="37" xfId="162" applyNumberFormat="1" applyFont="1" applyBorder="1" applyAlignment="1">
      <alignment horizontal="center" vertical="center" wrapText="1"/>
    </xf>
    <xf numFmtId="49" fontId="10" fillId="0" borderId="51" xfId="162" applyNumberFormat="1" applyFont="1" applyBorder="1" applyAlignment="1">
      <alignment horizontal="center" vertical="center" wrapText="1"/>
    </xf>
    <xf numFmtId="0" fontId="0" fillId="0" borderId="29" xfId="0" applyBorder="1"/>
    <xf numFmtId="0" fontId="53" fillId="0" borderId="30" xfId="0" applyFont="1" applyBorder="1" applyAlignment="1">
      <alignment horizontal="center" vertical="center"/>
    </xf>
    <xf numFmtId="0" fontId="53" fillId="0" borderId="0" xfId="0" applyFont="1" applyAlignment="1">
      <alignment vertical="center"/>
    </xf>
    <xf numFmtId="0" fontId="72" fillId="0" borderId="0" xfId="0" applyFont="1" applyAlignment="1">
      <alignment vertical="center"/>
    </xf>
    <xf numFmtId="0" fontId="60" fillId="46" borderId="13" xfId="0" applyFont="1" applyFill="1" applyBorder="1" applyAlignment="1">
      <alignment horizontal="center" vertical="center" wrapText="1"/>
    </xf>
    <xf numFmtId="0" fontId="53" fillId="0" borderId="0" xfId="0" applyFont="1" applyAlignment="1">
      <alignment horizontal="center" vertical="center" wrapText="1"/>
    </xf>
    <xf numFmtId="0" fontId="72" fillId="45" borderId="13" xfId="0" applyFont="1" applyFill="1" applyBorder="1" applyAlignment="1">
      <alignment vertical="center"/>
    </xf>
    <xf numFmtId="0" fontId="53" fillId="47" borderId="0" xfId="0" applyFont="1" applyFill="1" applyAlignment="1">
      <alignment vertical="center"/>
    </xf>
    <xf numFmtId="0" fontId="72" fillId="48" borderId="13" xfId="0" applyFont="1" applyFill="1" applyBorder="1" applyAlignment="1">
      <alignment vertical="center" wrapText="1"/>
    </xf>
    <xf numFmtId="0" fontId="72" fillId="48" borderId="13" xfId="0" applyFont="1" applyFill="1" applyBorder="1" applyAlignment="1">
      <alignment horizontal="left" vertical="center" wrapText="1"/>
    </xf>
    <xf numFmtId="0" fontId="53" fillId="48" borderId="0" xfId="0" applyFont="1" applyFill="1" applyAlignment="1">
      <alignment vertical="center"/>
    </xf>
    <xf numFmtId="14" fontId="72" fillId="9" borderId="13" xfId="0" applyNumberFormat="1" applyFont="1" applyFill="1" applyBorder="1" applyAlignment="1">
      <alignment vertical="center" wrapText="1"/>
    </xf>
    <xf numFmtId="0" fontId="72" fillId="9" borderId="13" xfId="0" applyFont="1" applyFill="1" applyBorder="1" applyAlignment="1">
      <alignment vertical="center" wrapText="1"/>
    </xf>
    <xf numFmtId="14" fontId="72" fillId="48" borderId="13" xfId="0" applyNumberFormat="1" applyFont="1" applyFill="1" applyBorder="1" applyAlignment="1">
      <alignment horizontal="center" vertical="center" wrapText="1"/>
    </xf>
    <xf numFmtId="14" fontId="72" fillId="45" borderId="13" xfId="0" applyNumberFormat="1" applyFont="1" applyFill="1" applyBorder="1" applyAlignment="1">
      <alignment vertical="center"/>
    </xf>
    <xf numFmtId="0" fontId="53" fillId="48" borderId="0" xfId="0" applyFont="1" applyFill="1" applyAlignment="1">
      <alignment vertical="center" wrapText="1"/>
    </xf>
    <xf numFmtId="0" fontId="74" fillId="0" borderId="51" xfId="197" applyFont="1" applyBorder="1" applyAlignment="1">
      <alignment vertical="center" wrapText="1"/>
    </xf>
    <xf numFmtId="0" fontId="75" fillId="0" borderId="51" xfId="197" applyFont="1" applyBorder="1" applyAlignment="1">
      <alignment vertical="center" wrapText="1"/>
    </xf>
    <xf numFmtId="0" fontId="72" fillId="45" borderId="13" xfId="0" applyFont="1" applyFill="1" applyBorder="1" applyAlignment="1">
      <alignment horizontal="center" vertical="center"/>
    </xf>
    <xf numFmtId="14" fontId="72" fillId="45" borderId="13" xfId="0" applyNumberFormat="1" applyFont="1" applyFill="1" applyBorder="1" applyAlignment="1">
      <alignment horizontal="center" vertical="center"/>
    </xf>
    <xf numFmtId="0" fontId="72" fillId="9" borderId="13" xfId="0" applyFont="1" applyFill="1" applyBorder="1" applyAlignment="1">
      <alignment horizontal="left" vertical="center"/>
    </xf>
    <xf numFmtId="0" fontId="74" fillId="9" borderId="13" xfId="197" applyFont="1" applyFill="1" applyBorder="1" applyAlignment="1">
      <alignment horizontal="left" vertical="center" wrapText="1"/>
    </xf>
    <xf numFmtId="0" fontId="72" fillId="9" borderId="13" xfId="197" applyFont="1" applyFill="1" applyBorder="1" applyAlignment="1">
      <alignment horizontal="left" vertical="center" wrapText="1"/>
    </xf>
    <xf numFmtId="14" fontId="72" fillId="0" borderId="13" xfId="199" applyNumberFormat="1" applyFont="1" applyBorder="1" applyAlignment="1">
      <alignment horizontal="center" vertical="center" wrapText="1"/>
    </xf>
    <xf numFmtId="0" fontId="72" fillId="9" borderId="13" xfId="197" applyFont="1" applyFill="1" applyBorder="1" applyAlignment="1">
      <alignment horizontal="left" vertical="center"/>
    </xf>
    <xf numFmtId="0" fontId="72" fillId="9" borderId="0" xfId="0" applyFont="1" applyFill="1" applyAlignment="1">
      <alignment vertical="center" wrapText="1"/>
    </xf>
    <xf numFmtId="0" fontId="75" fillId="9" borderId="13" xfId="197" applyFont="1" applyFill="1" applyBorder="1" applyAlignment="1">
      <alignment vertical="center" wrapText="1"/>
    </xf>
    <xf numFmtId="0" fontId="72" fillId="0" borderId="13" xfId="0" applyFont="1" applyBorder="1" applyAlignment="1">
      <alignment vertical="center" wrapText="1"/>
    </xf>
    <xf numFmtId="14" fontId="74" fillId="9" borderId="13" xfId="197" applyNumberFormat="1" applyFont="1" applyFill="1" applyBorder="1" applyAlignment="1">
      <alignment horizontal="center" vertical="center" wrapText="1"/>
    </xf>
    <xf numFmtId="0" fontId="72" fillId="48" borderId="0" xfId="0" applyFont="1" applyFill="1" applyAlignment="1">
      <alignment vertical="center" wrapText="1"/>
    </xf>
    <xf numFmtId="0" fontId="53" fillId="9" borderId="0" xfId="0" applyFont="1" applyFill="1" applyAlignment="1">
      <alignment vertical="center" wrapText="1"/>
    </xf>
    <xf numFmtId="0" fontId="72" fillId="0" borderId="0" xfId="0" applyFont="1" applyAlignment="1">
      <alignment horizontal="center" vertical="center" wrapText="1"/>
    </xf>
    <xf numFmtId="0" fontId="72" fillId="47" borderId="0" xfId="0" applyFont="1" applyFill="1" applyAlignment="1">
      <alignment vertical="center"/>
    </xf>
    <xf numFmtId="0" fontId="72" fillId="48" borderId="0" xfId="0" applyFont="1" applyFill="1" applyAlignment="1">
      <alignment vertical="center"/>
    </xf>
    <xf numFmtId="0" fontId="76" fillId="0" borderId="13" xfId="0" applyFont="1" applyBorder="1" applyAlignment="1">
      <alignment wrapText="1"/>
    </xf>
    <xf numFmtId="0" fontId="77" fillId="0" borderId="13" xfId="0" applyFont="1" applyBorder="1" applyAlignment="1">
      <alignment vertical="center" wrapText="1"/>
    </xf>
    <xf numFmtId="0" fontId="72" fillId="0" borderId="13" xfId="0" applyFont="1" applyBorder="1" applyAlignment="1">
      <alignment vertical="center"/>
    </xf>
    <xf numFmtId="14" fontId="73" fillId="0" borderId="13" xfId="168" applyNumberFormat="1" applyFont="1" applyBorder="1" applyAlignment="1">
      <alignment horizontal="left" vertical="top" wrapText="1"/>
    </xf>
    <xf numFmtId="0" fontId="74" fillId="0" borderId="13" xfId="197" applyFont="1" applyBorder="1" applyAlignment="1">
      <alignment vertical="center" wrapText="1"/>
    </xf>
    <xf numFmtId="0" fontId="75" fillId="0" borderId="13" xfId="197" applyFont="1" applyBorder="1" applyAlignment="1">
      <alignment vertical="center" wrapText="1"/>
    </xf>
    <xf numFmtId="0" fontId="76" fillId="0" borderId="13" xfId="0" applyFont="1" applyBorder="1"/>
    <xf numFmtId="14" fontId="76" fillId="0" borderId="13" xfId="0" applyNumberFormat="1" applyFont="1" applyBorder="1"/>
    <xf numFmtId="0" fontId="77" fillId="0" borderId="13" xfId="0" applyFont="1" applyBorder="1" applyAlignment="1">
      <alignment wrapText="1"/>
    </xf>
    <xf numFmtId="14" fontId="72" fillId="0" borderId="13" xfId="0" applyNumberFormat="1" applyFont="1" applyBorder="1" applyAlignment="1">
      <alignment horizontal="center" vertical="center"/>
    </xf>
    <xf numFmtId="14" fontId="72" fillId="45" borderId="13" xfId="199" applyNumberFormat="1" applyFont="1" applyFill="1" applyBorder="1" applyAlignment="1">
      <alignment horizontal="center" vertical="center" wrapText="1"/>
    </xf>
    <xf numFmtId="14" fontId="76" fillId="45" borderId="13" xfId="0" applyNumberFormat="1" applyFont="1" applyFill="1" applyBorder="1"/>
    <xf numFmtId="0" fontId="72" fillId="48" borderId="41" xfId="0" applyFont="1" applyFill="1" applyBorder="1" applyAlignment="1">
      <alignment vertical="center"/>
    </xf>
    <xf numFmtId="0" fontId="60" fillId="46" borderId="29" xfId="0" applyFont="1" applyFill="1" applyBorder="1" applyAlignment="1">
      <alignment horizontal="center" vertical="center" wrapText="1"/>
    </xf>
    <xf numFmtId="0" fontId="60" fillId="46" borderId="30" xfId="0" applyFont="1" applyFill="1" applyBorder="1" applyAlignment="1">
      <alignment horizontal="center" vertical="center" wrapText="1"/>
    </xf>
    <xf numFmtId="0" fontId="60" fillId="45" borderId="29" xfId="0" applyFont="1" applyFill="1" applyBorder="1" applyAlignment="1">
      <alignment vertical="center"/>
    </xf>
    <xf numFmtId="0" fontId="72" fillId="45" borderId="30" xfId="0" applyFont="1" applyFill="1" applyBorder="1" applyAlignment="1">
      <alignment vertical="center"/>
    </xf>
    <xf numFmtId="0" fontId="72" fillId="48" borderId="29" xfId="0" applyFont="1" applyFill="1" applyBorder="1" applyAlignment="1">
      <alignment vertical="center" wrapText="1"/>
    </xf>
    <xf numFmtId="0" fontId="72" fillId="40" borderId="30" xfId="198" applyFont="1" applyFill="1" applyBorder="1" applyAlignment="1">
      <alignment horizontal="center" vertical="center" wrapText="1"/>
    </xf>
    <xf numFmtId="0" fontId="60" fillId="45" borderId="29" xfId="0" applyFont="1" applyFill="1" applyBorder="1" applyAlignment="1">
      <alignment horizontal="left"/>
    </xf>
    <xf numFmtId="0" fontId="60" fillId="45" borderId="29" xfId="0" applyFont="1" applyFill="1" applyBorder="1"/>
    <xf numFmtId="0" fontId="72" fillId="9" borderId="29" xfId="0" applyFont="1" applyFill="1" applyBorder="1" applyAlignment="1">
      <alignment vertical="center" wrapText="1"/>
    </xf>
    <xf numFmtId="0" fontId="72" fillId="45" borderId="30" xfId="0" applyFont="1" applyFill="1" applyBorder="1" applyAlignment="1">
      <alignment horizontal="center" vertical="center"/>
    </xf>
    <xf numFmtId="0" fontId="72" fillId="40" borderId="30" xfId="0" applyFont="1" applyFill="1" applyBorder="1" applyAlignment="1">
      <alignment horizontal="center" vertical="center" wrapText="1"/>
    </xf>
    <xf numFmtId="14" fontId="72" fillId="40" borderId="30" xfId="198" applyNumberFormat="1" applyFont="1" applyFill="1" applyBorder="1" applyAlignment="1">
      <alignment horizontal="center" wrapText="1"/>
    </xf>
    <xf numFmtId="0" fontId="72" fillId="40" borderId="30" xfId="0" applyFont="1" applyFill="1" applyBorder="1" applyAlignment="1">
      <alignment horizontal="center" wrapText="1"/>
    </xf>
    <xf numFmtId="0" fontId="72" fillId="9" borderId="34" xfId="0" applyFont="1" applyFill="1" applyBorder="1" applyAlignment="1">
      <alignment vertical="center" wrapText="1"/>
    </xf>
    <xf numFmtId="0" fontId="72" fillId="9" borderId="59" xfId="0" applyFont="1" applyFill="1" applyBorder="1" applyAlignment="1">
      <alignment vertical="center" wrapText="1"/>
    </xf>
    <xf numFmtId="0" fontId="72" fillId="40" borderId="60" xfId="0" applyFont="1" applyFill="1" applyBorder="1" applyAlignment="1">
      <alignment horizontal="center" wrapText="1"/>
    </xf>
    <xf numFmtId="0" fontId="76" fillId="40" borderId="30" xfId="0" applyFont="1" applyFill="1" applyBorder="1"/>
    <xf numFmtId="14" fontId="72" fillId="40" borderId="30" xfId="0" applyNumberFormat="1" applyFont="1" applyFill="1" applyBorder="1" applyAlignment="1">
      <alignment wrapText="1"/>
    </xf>
    <xf numFmtId="0" fontId="72" fillId="0" borderId="59" xfId="0" applyFont="1" applyBorder="1" applyAlignment="1">
      <alignment vertical="center"/>
    </xf>
    <xf numFmtId="14" fontId="50" fillId="0" borderId="30" xfId="197" applyNumberFormat="1" applyBorder="1" applyAlignment="1">
      <alignment horizontal="center" vertical="center" wrapText="1"/>
    </xf>
    <xf numFmtId="0" fontId="53" fillId="0" borderId="13" xfId="0" applyFont="1" applyBorder="1" applyAlignment="1">
      <alignment horizontal="center" vertical="center"/>
    </xf>
    <xf numFmtId="0" fontId="77" fillId="0" borderId="13" xfId="0" applyFont="1" applyBorder="1" applyAlignment="1">
      <alignment horizontal="center" vertical="center" wrapText="1"/>
    </xf>
    <xf numFmtId="0" fontId="0" fillId="40" borderId="30" xfId="0" applyFill="1" applyBorder="1"/>
    <xf numFmtId="0" fontId="0" fillId="40" borderId="13" xfId="0" applyFill="1" applyBorder="1"/>
    <xf numFmtId="0" fontId="53" fillId="0" borderId="52" xfId="0" applyFont="1" applyBorder="1" applyAlignment="1">
      <alignment vertical="center"/>
    </xf>
    <xf numFmtId="0" fontId="53" fillId="0" borderId="53" xfId="0" applyFont="1" applyBorder="1" applyAlignment="1">
      <alignment vertical="center"/>
    </xf>
    <xf numFmtId="0" fontId="53" fillId="0" borderId="54" xfId="0" applyFont="1" applyBorder="1" applyAlignment="1">
      <alignment vertical="center"/>
    </xf>
    <xf numFmtId="0" fontId="0" fillId="0" borderId="4" xfId="0" applyBorder="1" applyAlignment="1">
      <alignment horizontal="left" vertical="top" wrapText="1"/>
    </xf>
    <xf numFmtId="0" fontId="49" fillId="35" borderId="37" xfId="0" applyFont="1" applyFill="1" applyBorder="1" applyAlignment="1">
      <alignment horizontal="left" vertical="top" wrapText="1"/>
    </xf>
    <xf numFmtId="0" fontId="0" fillId="0" borderId="5" xfId="0" applyBorder="1"/>
    <xf numFmtId="0" fontId="0" fillId="0" borderId="5" xfId="0" applyBorder="1" applyAlignment="1">
      <alignment horizontal="center"/>
    </xf>
    <xf numFmtId="0" fontId="0" fillId="0" borderId="40" xfId="0" applyBorder="1" applyAlignment="1">
      <alignment horizontal="center"/>
    </xf>
    <xf numFmtId="0" fontId="0" fillId="35" borderId="49" xfId="0" applyFill="1" applyBorder="1"/>
    <xf numFmtId="0" fontId="0" fillId="0" borderId="40" xfId="0" applyBorder="1"/>
    <xf numFmtId="0" fontId="72" fillId="9" borderId="5" xfId="0" applyFont="1" applyFill="1" applyBorder="1" applyAlignment="1">
      <alignment vertical="center" wrapText="1"/>
    </xf>
    <xf numFmtId="0" fontId="72" fillId="35" borderId="49" xfId="0" applyFont="1" applyFill="1" applyBorder="1" applyAlignment="1">
      <alignment vertical="center" wrapText="1"/>
    </xf>
    <xf numFmtId="0" fontId="72" fillId="9" borderId="51" xfId="0" applyFont="1" applyFill="1" applyBorder="1" applyAlignment="1">
      <alignment vertical="center" wrapText="1"/>
    </xf>
    <xf numFmtId="0" fontId="72" fillId="0" borderId="51" xfId="0" applyFont="1" applyBorder="1" applyAlignment="1">
      <alignment vertical="center"/>
    </xf>
    <xf numFmtId="0" fontId="72" fillId="40" borderId="52" xfId="0" applyFont="1" applyFill="1" applyBorder="1" applyAlignment="1">
      <alignment horizontal="center" wrapText="1"/>
    </xf>
    <xf numFmtId="0" fontId="0" fillId="0" borderId="27" xfId="0" applyBorder="1" applyAlignment="1">
      <alignment horizontal="center" vertical="center"/>
    </xf>
    <xf numFmtId="0" fontId="78" fillId="0" borderId="0" xfId="0" applyFont="1" applyAlignment="1">
      <alignment horizontal="left" vertical="center" wrapText="1" indent="1"/>
    </xf>
    <xf numFmtId="0" fontId="43" fillId="48" borderId="13" xfId="0" applyFont="1" applyFill="1" applyBorder="1" applyAlignment="1">
      <alignment horizontal="left" vertical="center" wrapText="1"/>
    </xf>
    <xf numFmtId="165" fontId="10" fillId="0" borderId="13" xfId="162" applyNumberFormat="1" applyFont="1" applyBorder="1" applyAlignment="1">
      <alignment horizontal="center" vertical="center" wrapText="1"/>
    </xf>
    <xf numFmtId="0" fontId="45" fillId="0" borderId="29" xfId="0" applyFont="1" applyBorder="1" applyAlignment="1">
      <alignment horizontal="center" vertical="center"/>
    </xf>
    <xf numFmtId="0" fontId="45" fillId="0" borderId="13" xfId="0" applyFont="1" applyBorder="1" applyAlignment="1">
      <alignment horizontal="center" vertical="center" wrapText="1"/>
    </xf>
    <xf numFmtId="165" fontId="45" fillId="0" borderId="13" xfId="162" applyNumberFormat="1" applyFont="1" applyBorder="1" applyAlignment="1">
      <alignment horizontal="center" vertical="center" wrapText="1"/>
    </xf>
    <xf numFmtId="1" fontId="45" fillId="0" borderId="13" xfId="162" applyNumberFormat="1" applyFont="1" applyBorder="1" applyAlignment="1">
      <alignment horizontal="center" vertical="center" wrapText="1"/>
    </xf>
    <xf numFmtId="14" fontId="45" fillId="0" borderId="13" xfId="162" applyNumberFormat="1" applyFont="1" applyBorder="1" applyAlignment="1">
      <alignment horizontal="center" vertical="center" wrapText="1"/>
    </xf>
    <xf numFmtId="0" fontId="45" fillId="0" borderId="13" xfId="0" applyFont="1" applyBorder="1" applyAlignment="1">
      <alignment vertical="center"/>
    </xf>
    <xf numFmtId="0" fontId="0" fillId="0" borderId="41" xfId="0" applyBorder="1" applyAlignment="1">
      <alignment horizontal="center"/>
    </xf>
    <xf numFmtId="0" fontId="0" fillId="0" borderId="6" xfId="0" applyBorder="1" applyAlignment="1">
      <alignment horizontal="center"/>
    </xf>
    <xf numFmtId="0" fontId="0" fillId="0" borderId="42" xfId="0" applyBorder="1" applyAlignment="1">
      <alignment horizontal="center"/>
    </xf>
    <xf numFmtId="14" fontId="50" fillId="0" borderId="30" xfId="197" applyNumberFormat="1" applyBorder="1" applyAlignment="1">
      <alignment horizontal="left" vertical="center" wrapText="1"/>
    </xf>
    <xf numFmtId="0" fontId="54" fillId="0" borderId="13" xfId="162" applyFont="1" applyBorder="1" applyAlignment="1">
      <alignment horizontal="center" vertical="center"/>
    </xf>
    <xf numFmtId="0" fontId="79" fillId="0" borderId="61" xfId="0" applyFont="1" applyBorder="1"/>
    <xf numFmtId="0" fontId="79" fillId="0" borderId="62" xfId="0" applyFont="1" applyBorder="1"/>
    <xf numFmtId="0" fontId="79" fillId="0" borderId="63" xfId="0" applyFont="1" applyBorder="1" applyAlignment="1">
      <alignment horizontal="center"/>
    </xf>
    <xf numFmtId="0" fontId="79" fillId="0" borderId="64" xfId="0" applyFont="1" applyBorder="1" applyAlignment="1">
      <alignment wrapText="1"/>
    </xf>
    <xf numFmtId="0" fontId="80" fillId="0" borderId="29" xfId="0" applyFont="1" applyBorder="1" applyAlignment="1">
      <alignment vertical="center"/>
    </xf>
    <xf numFmtId="0" fontId="80" fillId="0" borderId="34" xfId="0" applyFont="1" applyBorder="1" applyAlignment="1">
      <alignment vertical="center"/>
    </xf>
    <xf numFmtId="0" fontId="81" fillId="0" borderId="13" xfId="0" applyFont="1" applyBorder="1" applyAlignment="1">
      <alignment vertical="center" wrapText="1"/>
    </xf>
    <xf numFmtId="0" fontId="81" fillId="0" borderId="59" xfId="0" applyFont="1" applyBorder="1" applyAlignment="1">
      <alignment vertical="center" wrapText="1"/>
    </xf>
    <xf numFmtId="0" fontId="53" fillId="0" borderId="13" xfId="0" applyFont="1" applyBorder="1" applyAlignment="1">
      <alignment horizontal="center" vertical="center" wrapText="1"/>
    </xf>
    <xf numFmtId="0" fontId="11" fillId="0" borderId="13" xfId="0" applyFont="1" applyBorder="1" applyAlignment="1">
      <alignment vertical="top"/>
    </xf>
    <xf numFmtId="0" fontId="0" fillId="0" borderId="13" xfId="0" applyBorder="1" applyAlignment="1">
      <alignment vertical="top"/>
    </xf>
    <xf numFmtId="0" fontId="7" fillId="0" borderId="13" xfId="0" applyFont="1" applyBorder="1" applyAlignment="1">
      <alignment vertical="top"/>
    </xf>
    <xf numFmtId="14" fontId="72" fillId="0" borderId="13" xfId="0" applyNumberFormat="1" applyFont="1" applyBorder="1" applyAlignment="1">
      <alignment horizontal="left" vertical="center" wrapText="1"/>
    </xf>
    <xf numFmtId="0" fontId="60" fillId="46" borderId="13" xfId="0" applyFont="1" applyFill="1" applyBorder="1" applyAlignment="1">
      <alignment horizontal="left" vertical="center" wrapText="1"/>
    </xf>
    <xf numFmtId="0" fontId="72" fillId="45" borderId="13" xfId="0" applyFont="1" applyFill="1" applyBorder="1" applyAlignment="1">
      <alignment horizontal="left" vertical="center" wrapText="1"/>
    </xf>
    <xf numFmtId="14" fontId="72" fillId="9" borderId="13" xfId="0" applyNumberFormat="1" applyFont="1" applyFill="1" applyBorder="1" applyAlignment="1">
      <alignment horizontal="left" vertical="center" wrapText="1"/>
    </xf>
    <xf numFmtId="14" fontId="72" fillId="48" borderId="13" xfId="0" applyNumberFormat="1" applyFont="1" applyFill="1" applyBorder="1" applyAlignment="1">
      <alignment horizontal="left" vertical="center" wrapText="1"/>
    </xf>
    <xf numFmtId="14" fontId="72" fillId="45" borderId="13" xfId="0" applyNumberFormat="1" applyFont="1" applyFill="1" applyBorder="1" applyAlignment="1">
      <alignment horizontal="left" vertical="center" wrapText="1"/>
    </xf>
    <xf numFmtId="14" fontId="72" fillId="0" borderId="13" xfId="199" applyNumberFormat="1" applyFont="1" applyBorder="1" applyAlignment="1">
      <alignment horizontal="left" vertical="center" wrapText="1"/>
    </xf>
    <xf numFmtId="14" fontId="72" fillId="45" borderId="13" xfId="199" applyNumberFormat="1" applyFont="1" applyFill="1" applyBorder="1" applyAlignment="1">
      <alignment horizontal="left" vertical="center" wrapText="1"/>
    </xf>
    <xf numFmtId="0" fontId="76" fillId="0" borderId="13" xfId="0" applyFont="1" applyBorder="1" applyAlignment="1">
      <alignment horizontal="left" wrapText="1"/>
    </xf>
    <xf numFmtId="14" fontId="76" fillId="0" borderId="13" xfId="0" applyNumberFormat="1" applyFont="1" applyBorder="1" applyAlignment="1">
      <alignment horizontal="left" wrapText="1"/>
    </xf>
    <xf numFmtId="14" fontId="76" fillId="45" borderId="13" xfId="0" applyNumberFormat="1" applyFont="1" applyFill="1" applyBorder="1" applyAlignment="1">
      <alignment horizontal="left" wrapText="1"/>
    </xf>
    <xf numFmtId="14" fontId="74" fillId="9" borderId="13" xfId="197" applyNumberFormat="1" applyFont="1" applyFill="1" applyBorder="1" applyAlignment="1">
      <alignment horizontal="left" vertical="center" wrapText="1"/>
    </xf>
    <xf numFmtId="0" fontId="72" fillId="0" borderId="13" xfId="0" applyFont="1" applyBorder="1" applyAlignment="1">
      <alignment horizontal="left" vertical="center" wrapText="1"/>
    </xf>
    <xf numFmtId="0" fontId="72" fillId="0" borderId="59" xfId="0" applyFont="1" applyBorder="1" applyAlignment="1">
      <alignment horizontal="left" vertical="center" wrapText="1"/>
    </xf>
    <xf numFmtId="0" fontId="72" fillId="0" borderId="51" xfId="0" applyFont="1" applyBorder="1" applyAlignment="1">
      <alignment horizontal="left" vertical="center" wrapText="1"/>
    </xf>
    <xf numFmtId="0" fontId="72" fillId="0" borderId="0" xfId="0" applyFont="1" applyAlignment="1">
      <alignment horizontal="left" vertical="center" wrapText="1"/>
    </xf>
    <xf numFmtId="0" fontId="53" fillId="0" borderId="40" xfId="0" applyFont="1" applyBorder="1" applyAlignment="1">
      <alignment vertical="center"/>
    </xf>
    <xf numFmtId="14" fontId="45" fillId="0" borderId="30" xfId="162" applyNumberFormat="1" applyFont="1" applyBorder="1" applyAlignment="1">
      <alignment horizontal="center" vertical="center" wrapText="1"/>
    </xf>
    <xf numFmtId="0" fontId="0" fillId="0" borderId="60" xfId="0" applyBorder="1"/>
    <xf numFmtId="0" fontId="82" fillId="0" borderId="30" xfId="0" applyFont="1" applyBorder="1" applyAlignment="1">
      <alignment horizontal="left" vertical="center"/>
    </xf>
    <xf numFmtId="0" fontId="82" fillId="0" borderId="28" xfId="0" applyFont="1" applyBorder="1" applyAlignment="1">
      <alignment horizontal="left" vertical="center" wrapText="1"/>
    </xf>
    <xf numFmtId="2" fontId="82" fillId="0" borderId="33" xfId="0" applyNumberFormat="1" applyFont="1" applyBorder="1" applyAlignment="1">
      <alignment horizontal="left" vertical="center" wrapText="1"/>
    </xf>
    <xf numFmtId="0" fontId="56" fillId="0" borderId="26" xfId="0" applyFont="1" applyBorder="1" applyAlignment="1">
      <alignment vertical="center"/>
    </xf>
    <xf numFmtId="0" fontId="56" fillId="0" borderId="24" xfId="0" applyFont="1" applyBorder="1" applyAlignment="1">
      <alignment horizontal="center" vertical="center"/>
    </xf>
    <xf numFmtId="0" fontId="77" fillId="0" borderId="51" xfId="0" applyFont="1" applyBorder="1" applyAlignment="1">
      <alignment wrapText="1"/>
    </xf>
    <xf numFmtId="0" fontId="77" fillId="0" borderId="66" xfId="0" applyFont="1" applyBorder="1" applyAlignment="1">
      <alignment wrapText="1"/>
    </xf>
    <xf numFmtId="14" fontId="76" fillId="36" borderId="13" xfId="0" applyNumberFormat="1" applyFont="1" applyFill="1" applyBorder="1"/>
    <xf numFmtId="2" fontId="51" fillId="0" borderId="50" xfId="0" applyNumberFormat="1" applyFont="1" applyBorder="1" applyAlignment="1">
      <alignment horizontal="center" wrapText="1"/>
    </xf>
    <xf numFmtId="0" fontId="7" fillId="0" borderId="4" xfId="0" applyFont="1" applyBorder="1" applyAlignment="1">
      <alignment horizontal="center"/>
    </xf>
    <xf numFmtId="1" fontId="46" fillId="0" borderId="4" xfId="162" applyNumberFormat="1" applyFont="1" applyBorder="1" applyAlignment="1">
      <alignment horizontal="center" vertical="center"/>
    </xf>
    <xf numFmtId="1" fontId="46" fillId="0" borderId="9" xfId="162" applyNumberFormat="1" applyFont="1" applyBorder="1" applyAlignment="1">
      <alignment horizontal="center" vertical="center"/>
    </xf>
    <xf numFmtId="1" fontId="46" fillId="0" borderId="50" xfId="162" applyNumberFormat="1" applyFont="1" applyBorder="1" applyAlignment="1">
      <alignment horizontal="center" vertical="center"/>
    </xf>
    <xf numFmtId="0" fontId="83" fillId="0" borderId="13" xfId="0" applyFont="1" applyBorder="1" applyAlignment="1">
      <alignment vertical="center" wrapText="1"/>
    </xf>
    <xf numFmtId="14" fontId="0" fillId="40" borderId="42" xfId="0" applyNumberFormat="1" applyFill="1" applyBorder="1"/>
    <xf numFmtId="0" fontId="0" fillId="40" borderId="42" xfId="0" applyFill="1" applyBorder="1"/>
    <xf numFmtId="0" fontId="45" fillId="0" borderId="30" xfId="0" applyFont="1" applyBorder="1" applyAlignment="1">
      <alignment horizontal="center" vertical="center"/>
    </xf>
    <xf numFmtId="14" fontId="48" fillId="53" borderId="29" xfId="0" applyNumberFormat="1" applyFont="1" applyFill="1" applyBorder="1" applyAlignment="1">
      <alignment horizontal="center" vertical="center"/>
    </xf>
    <xf numFmtId="0" fontId="84" fillId="0" borderId="0" xfId="0" applyFont="1"/>
    <xf numFmtId="0" fontId="0" fillId="0" borderId="0" xfId="0" applyAlignment="1">
      <alignment horizontal="center" vertical="center"/>
    </xf>
    <xf numFmtId="0" fontId="82" fillId="0" borderId="29" xfId="0" applyFont="1" applyBorder="1"/>
    <xf numFmtId="0" fontId="7" fillId="0" borderId="29" xfId="0" applyFont="1" applyBorder="1"/>
    <xf numFmtId="0" fontId="7" fillId="0" borderId="43" xfId="0" applyFont="1" applyBorder="1"/>
    <xf numFmtId="0" fontId="7" fillId="0" borderId="44" xfId="0" applyFont="1" applyBorder="1"/>
    <xf numFmtId="0" fontId="7" fillId="0" borderId="45" xfId="0" applyFont="1" applyBorder="1"/>
    <xf numFmtId="0" fontId="86" fillId="0" borderId="66" xfId="0" applyFont="1" applyBorder="1" applyAlignment="1">
      <alignment horizontal="center" vertical="center"/>
    </xf>
    <xf numFmtId="0" fontId="86" fillId="0" borderId="67" xfId="0" applyFont="1" applyBorder="1" applyAlignment="1">
      <alignment horizontal="center" vertical="center"/>
    </xf>
    <xf numFmtId="0" fontId="0" fillId="0" borderId="24" xfId="0" applyBorder="1"/>
    <xf numFmtId="0" fontId="0" fillId="0" borderId="25" xfId="0" applyBorder="1"/>
    <xf numFmtId="0" fontId="86" fillId="0" borderId="43" xfId="0" applyFont="1" applyBorder="1" applyAlignment="1">
      <alignment vertical="center"/>
    </xf>
    <xf numFmtId="0" fontId="86" fillId="0" borderId="44" xfId="0" applyFont="1" applyBorder="1" applyAlignment="1">
      <alignment vertical="center"/>
    </xf>
    <xf numFmtId="0" fontId="86" fillId="0" borderId="45" xfId="0" applyFont="1" applyBorder="1" applyAlignment="1">
      <alignment vertical="center"/>
    </xf>
    <xf numFmtId="0" fontId="0" fillId="0" borderId="31" xfId="0" applyBorder="1"/>
    <xf numFmtId="0" fontId="0" fillId="0" borderId="32" xfId="0" applyBorder="1"/>
    <xf numFmtId="0" fontId="86" fillId="0" borderId="62" xfId="0" applyFont="1" applyBorder="1" applyAlignment="1">
      <alignment vertical="center"/>
    </xf>
    <xf numFmtId="0" fontId="86" fillId="0" borderId="10" xfId="0" applyFont="1" applyBorder="1" applyAlignment="1">
      <alignment horizontal="center" vertical="center"/>
    </xf>
    <xf numFmtId="0" fontId="86" fillId="0" borderId="12" xfId="0" applyFont="1" applyBorder="1" applyAlignment="1">
      <alignment horizontal="center" vertical="center"/>
    </xf>
    <xf numFmtId="0" fontId="61" fillId="0" borderId="13" xfId="0" applyFont="1" applyBorder="1" applyAlignment="1">
      <alignment horizontal="center" vertical="center" wrapText="1"/>
    </xf>
    <xf numFmtId="14" fontId="87" fillId="0" borderId="41" xfId="197" applyNumberFormat="1" applyFont="1" applyBorder="1"/>
    <xf numFmtId="0" fontId="9" fillId="51" borderId="39" xfId="0" applyFont="1" applyFill="1" applyBorder="1" applyAlignment="1">
      <alignment horizontal="center" vertical="center"/>
    </xf>
    <xf numFmtId="0" fontId="9" fillId="44" borderId="38" xfId="0" applyFont="1" applyFill="1" applyBorder="1" applyAlignment="1">
      <alignment horizontal="center" vertical="center"/>
    </xf>
    <xf numFmtId="14" fontId="0" fillId="0" borderId="0" xfId="0" applyNumberFormat="1"/>
    <xf numFmtId="14" fontId="50" fillId="0" borderId="41" xfId="197" applyNumberFormat="1" applyBorder="1" applyAlignment="1">
      <alignment horizontal="center" vertical="center" wrapText="1"/>
    </xf>
    <xf numFmtId="0" fontId="53" fillId="0" borderId="4" xfId="0" applyFont="1" applyBorder="1" applyAlignment="1">
      <alignment vertical="center"/>
    </xf>
    <xf numFmtId="0" fontId="53" fillId="0" borderId="50" xfId="0" applyFont="1" applyBorder="1" applyAlignment="1">
      <alignment vertical="center"/>
    </xf>
    <xf numFmtId="1" fontId="59" fillId="0" borderId="34" xfId="162" applyNumberFormat="1" applyFont="1" applyBorder="1" applyAlignment="1">
      <alignment horizontal="center" vertical="center" wrapText="1"/>
    </xf>
    <xf numFmtId="0" fontId="48" fillId="0" borderId="0" xfId="0" applyFont="1"/>
    <xf numFmtId="0" fontId="48" fillId="0" borderId="0" xfId="0" applyFont="1" applyAlignment="1">
      <alignment vertical="center"/>
    </xf>
    <xf numFmtId="0" fontId="58" fillId="0" borderId="39" xfId="162" applyFont="1" applyBorder="1" applyAlignment="1">
      <alignment horizontal="center" vertical="center"/>
    </xf>
    <xf numFmtId="165" fontId="48" fillId="0" borderId="0" xfId="0" applyNumberFormat="1" applyFont="1"/>
    <xf numFmtId="165" fontId="48" fillId="0" borderId="28" xfId="0" applyNumberFormat="1" applyFont="1" applyBorder="1"/>
    <xf numFmtId="165" fontId="0" fillId="0" borderId="0" xfId="0" applyNumberFormat="1"/>
    <xf numFmtId="165" fontId="0" fillId="0" borderId="28" xfId="0" applyNumberFormat="1" applyBorder="1"/>
    <xf numFmtId="0" fontId="53" fillId="0" borderId="10" xfId="0" applyFont="1" applyBorder="1" applyAlignment="1">
      <alignment horizontal="center" vertical="center"/>
    </xf>
    <xf numFmtId="0" fontId="9" fillId="0" borderId="34" xfId="0" applyFont="1" applyBorder="1" applyAlignment="1">
      <alignment horizontal="center" vertical="center"/>
    </xf>
    <xf numFmtId="0" fontId="9" fillId="0" borderId="60" xfId="0" applyFont="1" applyBorder="1" applyAlignment="1">
      <alignment horizontal="center" vertical="center"/>
    </xf>
    <xf numFmtId="0" fontId="9" fillId="0" borderId="61" xfId="0" applyFont="1" applyBorder="1" applyAlignment="1">
      <alignment horizontal="center" vertical="center"/>
    </xf>
    <xf numFmtId="0" fontId="9" fillId="0" borderId="63" xfId="0" applyFont="1" applyBorder="1" applyAlignment="1">
      <alignment horizontal="center" vertical="center"/>
    </xf>
    <xf numFmtId="0" fontId="9" fillId="0" borderId="64" xfId="0" applyFont="1" applyBorder="1" applyAlignment="1">
      <alignment horizontal="center" vertical="center"/>
    </xf>
    <xf numFmtId="165" fontId="48" fillId="0" borderId="44" xfId="0" applyNumberFormat="1" applyFont="1" applyBorder="1"/>
    <xf numFmtId="165" fontId="48" fillId="0" borderId="45" xfId="0" applyNumberFormat="1" applyFont="1" applyBorder="1"/>
    <xf numFmtId="0" fontId="53" fillId="0" borderId="10" xfId="0" applyFont="1" applyBorder="1" applyAlignment="1">
      <alignment horizontal="left" vertical="center"/>
    </xf>
    <xf numFmtId="14" fontId="50" fillId="0" borderId="41" xfId="197" applyNumberFormat="1" applyBorder="1" applyAlignment="1">
      <alignment horizontal="left" vertical="center" wrapText="1"/>
    </xf>
    <xf numFmtId="0" fontId="53" fillId="0" borderId="4" xfId="0" applyFont="1" applyBorder="1" applyAlignment="1">
      <alignment horizontal="left" vertical="center"/>
    </xf>
    <xf numFmtId="0" fontId="53" fillId="0" borderId="9" xfId="0" applyFont="1" applyBorder="1" applyAlignment="1">
      <alignment horizontal="left" vertical="center"/>
    </xf>
    <xf numFmtId="0" fontId="57" fillId="0" borderId="44" xfId="0" applyFont="1" applyBorder="1" applyAlignment="1">
      <alignment horizontal="center" vertical="center"/>
    </xf>
    <xf numFmtId="14" fontId="48" fillId="35" borderId="39" xfId="0" applyNumberFormat="1" applyFont="1" applyFill="1" applyBorder="1" applyAlignment="1">
      <alignment horizontal="center" vertical="center"/>
    </xf>
    <xf numFmtId="0" fontId="9" fillId="0" borderId="71" xfId="0" applyFont="1" applyBorder="1" applyAlignment="1">
      <alignment horizontal="center" vertical="center"/>
    </xf>
    <xf numFmtId="0" fontId="82" fillId="0" borderId="67" xfId="0" applyFont="1" applyBorder="1" applyAlignment="1">
      <alignment horizontal="left" vertical="center"/>
    </xf>
    <xf numFmtId="0" fontId="7" fillId="0" borderId="24" xfId="0" applyFont="1" applyBorder="1" applyAlignment="1">
      <alignment vertical="center" wrapText="1"/>
    </xf>
    <xf numFmtId="0" fontId="7" fillId="0" borderId="25" xfId="0" applyFont="1" applyBorder="1" applyAlignment="1">
      <alignment vertical="center" wrapText="1"/>
    </xf>
    <xf numFmtId="165" fontId="7" fillId="0" borderId="26" xfId="0" applyNumberFormat="1" applyFont="1" applyBorder="1" applyAlignment="1">
      <alignment vertical="center" wrapText="1"/>
    </xf>
    <xf numFmtId="49" fontId="10" fillId="0" borderId="9" xfId="162" applyNumberFormat="1" applyFont="1" applyBorder="1" applyAlignment="1">
      <alignment horizontal="center" vertical="center" wrapText="1"/>
    </xf>
    <xf numFmtId="14" fontId="41" fillId="0" borderId="9" xfId="162" applyNumberFormat="1" applyFont="1" applyBorder="1" applyAlignment="1">
      <alignment horizontal="center" vertical="center" wrapText="1"/>
    </xf>
    <xf numFmtId="165" fontId="10" fillId="0" borderId="9" xfId="162" applyNumberFormat="1" applyFont="1" applyBorder="1" applyAlignment="1">
      <alignment horizontal="center" vertical="center" wrapText="1"/>
    </xf>
    <xf numFmtId="0" fontId="72" fillId="48" borderId="13" xfId="0" applyFont="1" applyFill="1" applyBorder="1" applyAlignment="1">
      <alignment horizontal="center" vertical="center" wrapText="1"/>
    </xf>
    <xf numFmtId="0" fontId="72" fillId="9" borderId="13" xfId="0" applyFont="1" applyFill="1" applyBorder="1" applyAlignment="1">
      <alignment horizontal="center" vertical="center"/>
    </xf>
    <xf numFmtId="0" fontId="83" fillId="0" borderId="13" xfId="0" applyFont="1" applyBorder="1" applyAlignment="1">
      <alignment horizontal="center" vertical="center" wrapText="1"/>
    </xf>
    <xf numFmtId="0" fontId="72" fillId="9" borderId="59" xfId="0" applyFont="1" applyFill="1" applyBorder="1" applyAlignment="1">
      <alignment horizontal="center" vertical="center" wrapText="1"/>
    </xf>
    <xf numFmtId="0" fontId="72" fillId="9" borderId="5" xfId="0" applyFont="1" applyFill="1" applyBorder="1" applyAlignment="1">
      <alignment horizontal="center" vertical="center" wrapText="1"/>
    </xf>
    <xf numFmtId="0" fontId="72" fillId="0" borderId="0" xfId="0" applyFont="1" applyAlignment="1">
      <alignment horizontal="center" vertical="center"/>
    </xf>
    <xf numFmtId="0" fontId="72" fillId="0" borderId="13" xfId="0" applyFont="1" applyBorder="1" applyAlignment="1">
      <alignment horizontal="center" vertical="center" wrapText="1"/>
    </xf>
    <xf numFmtId="0" fontId="76" fillId="0" borderId="30" xfId="0" applyFont="1" applyFill="1" applyBorder="1"/>
    <xf numFmtId="0" fontId="43" fillId="0" borderId="0" xfId="0" applyFont="1" applyAlignment="1">
      <alignment horizontal="center" vertical="center"/>
    </xf>
    <xf numFmtId="0" fontId="72" fillId="0" borderId="13" xfId="0" applyFont="1" applyFill="1" applyBorder="1" applyAlignment="1">
      <alignment horizontal="left" vertical="center" wrapText="1"/>
    </xf>
    <xf numFmtId="14" fontId="73" fillId="0" borderId="13" xfId="168" applyNumberFormat="1" applyFont="1" applyFill="1" applyBorder="1" applyAlignment="1">
      <alignment horizontal="left" vertical="top" wrapText="1"/>
    </xf>
    <xf numFmtId="0" fontId="72" fillId="0" borderId="30" xfId="198" applyFont="1" applyFill="1" applyBorder="1" applyAlignment="1">
      <alignment horizontal="center" vertical="center" wrapText="1"/>
    </xf>
    <xf numFmtId="0" fontId="0" fillId="0" borderId="29" xfId="0" applyBorder="1" applyAlignment="1">
      <alignment horizontal="center" vertical="center"/>
    </xf>
    <xf numFmtId="0" fontId="84" fillId="0" borderId="29" xfId="0" applyFont="1" applyBorder="1" applyAlignment="1">
      <alignment horizontal="center" vertical="center" wrapText="1"/>
    </xf>
    <xf numFmtId="0" fontId="84" fillId="0" borderId="29" xfId="0" applyFont="1" applyBorder="1" applyAlignment="1">
      <alignment horizontal="center" vertical="center"/>
    </xf>
    <xf numFmtId="0" fontId="43" fillId="0" borderId="0" xfId="0" applyFont="1" applyAlignment="1">
      <alignment horizontal="center" vertical="center"/>
    </xf>
    <xf numFmtId="0" fontId="11" fillId="0" borderId="13" xfId="0" applyFont="1" applyBorder="1" applyAlignment="1">
      <alignment horizontal="left" vertical="center"/>
    </xf>
    <xf numFmtId="0" fontId="10" fillId="0" borderId="13" xfId="0" applyFont="1" applyBorder="1" applyAlignment="1">
      <alignment horizontal="left" vertical="center"/>
    </xf>
    <xf numFmtId="0" fontId="11" fillId="0" borderId="13" xfId="0" applyFont="1" applyBorder="1" applyAlignment="1">
      <alignment vertical="center"/>
    </xf>
    <xf numFmtId="14" fontId="10" fillId="0" borderId="41" xfId="0" applyNumberFormat="1" applyFont="1" applyBorder="1" applyAlignment="1">
      <alignment horizontal="left" vertical="center"/>
    </xf>
    <xf numFmtId="0" fontId="0" fillId="0" borderId="41" xfId="0" applyBorder="1" applyAlignment="1">
      <alignment vertical="top"/>
    </xf>
    <xf numFmtId="0" fontId="53" fillId="0" borderId="72" xfId="0" applyFont="1" applyBorder="1" applyAlignment="1">
      <alignment horizontal="center" vertical="center"/>
    </xf>
    <xf numFmtId="0" fontId="11" fillId="0" borderId="29" xfId="0" applyFont="1" applyBorder="1" applyAlignment="1">
      <alignment vertical="top"/>
    </xf>
    <xf numFmtId="0" fontId="7" fillId="0" borderId="29" xfId="0" applyFont="1" applyBorder="1" applyAlignment="1">
      <alignment horizontal="left" vertical="top"/>
    </xf>
    <xf numFmtId="14" fontId="61" fillId="0" borderId="29" xfId="162" applyNumberFormat="1" applyFont="1" applyBorder="1" applyAlignment="1">
      <alignment horizontal="left" vertical="center" wrapText="1"/>
    </xf>
    <xf numFmtId="0" fontId="0" fillId="0" borderId="0" xfId="0" applyBorder="1" applyAlignment="1">
      <alignment vertical="top"/>
    </xf>
    <xf numFmtId="164" fontId="5" fillId="0" borderId="28" xfId="1" applyNumberFormat="1" applyFill="1" applyBorder="1" applyAlignment="1">
      <alignment vertical="top"/>
    </xf>
    <xf numFmtId="0" fontId="12" fillId="9" borderId="27" xfId="0" applyFont="1" applyFill="1" applyBorder="1" applyAlignment="1">
      <alignment vertical="top"/>
    </xf>
    <xf numFmtId="0" fontId="59" fillId="0" borderId="37" xfId="0" applyFont="1" applyBorder="1"/>
    <xf numFmtId="14" fontId="10" fillId="0" borderId="51" xfId="0" applyNumberFormat="1" applyFont="1" applyBorder="1" applyAlignment="1">
      <alignment horizontal="left" vertical="center"/>
    </xf>
    <xf numFmtId="0" fontId="12" fillId="9" borderId="51" xfId="0" quotePrefix="1" applyFont="1" applyFill="1" applyBorder="1" applyAlignment="1">
      <alignment vertical="top"/>
    </xf>
    <xf numFmtId="0" fontId="11" fillId="0" borderId="61" xfId="0" applyFont="1" applyBorder="1" applyAlignment="1">
      <alignment horizontal="left"/>
    </xf>
    <xf numFmtId="0" fontId="9" fillId="0" borderId="63" xfId="0" applyFont="1" applyBorder="1" applyAlignment="1">
      <alignment horizontal="left"/>
    </xf>
    <xf numFmtId="0" fontId="9" fillId="0" borderId="63" xfId="0" applyFont="1" applyBorder="1" applyAlignment="1"/>
    <xf numFmtId="2" fontId="9" fillId="0" borderId="63" xfId="0" applyNumberFormat="1" applyFont="1" applyBorder="1" applyAlignment="1">
      <alignment wrapText="1"/>
    </xf>
    <xf numFmtId="1" fontId="9" fillId="0" borderId="63" xfId="0" applyNumberFormat="1" applyFont="1" applyBorder="1" applyAlignment="1"/>
    <xf numFmtId="164" fontId="9" fillId="0" borderId="64" xfId="0" applyNumberFormat="1" applyFont="1" applyBorder="1" applyAlignment="1"/>
    <xf numFmtId="0" fontId="43" fillId="0" borderId="0" xfId="0" applyFont="1" applyAlignment="1">
      <alignment horizontal="center" vertical="center"/>
    </xf>
    <xf numFmtId="0" fontId="72" fillId="9" borderId="29" xfId="0" applyFont="1" applyFill="1" applyBorder="1" applyAlignment="1">
      <alignment horizontal="left" vertical="center" wrapText="1"/>
    </xf>
    <xf numFmtId="0" fontId="72" fillId="9" borderId="13" xfId="0" applyFont="1" applyFill="1" applyBorder="1" applyAlignment="1">
      <alignment horizontal="left" vertical="center" wrapText="1"/>
    </xf>
    <xf numFmtId="14" fontId="72" fillId="9" borderId="13" xfId="0" applyNumberFormat="1" applyFont="1" applyFill="1" applyBorder="1" applyAlignment="1">
      <alignment horizontal="center" vertical="center" wrapText="1"/>
    </xf>
    <xf numFmtId="0" fontId="72" fillId="9" borderId="29" xfId="0" applyFont="1" applyFill="1" applyBorder="1" applyAlignment="1">
      <alignment horizontal="center" vertical="center" wrapText="1"/>
    </xf>
    <xf numFmtId="0" fontId="72" fillId="9" borderId="13" xfId="0" applyFont="1" applyFill="1" applyBorder="1" applyAlignment="1">
      <alignment horizontal="center" vertical="center" wrapText="1"/>
    </xf>
    <xf numFmtId="14" fontId="72" fillId="9" borderId="41" xfId="0" applyNumberFormat="1" applyFont="1" applyFill="1" applyBorder="1" applyAlignment="1">
      <alignment vertical="center" wrapText="1"/>
    </xf>
    <xf numFmtId="0" fontId="76" fillId="0" borderId="41" xfId="0" applyFont="1" applyBorder="1"/>
    <xf numFmtId="14" fontId="72" fillId="9" borderId="41" xfId="0" applyNumberFormat="1" applyFont="1" applyFill="1" applyBorder="1" applyAlignment="1">
      <alignment horizontal="left" vertical="center" wrapText="1"/>
    </xf>
    <xf numFmtId="14" fontId="72" fillId="0" borderId="41" xfId="0" applyNumberFormat="1" applyFont="1" applyBorder="1" applyAlignment="1">
      <alignment horizontal="left" vertical="center" wrapText="1"/>
    </xf>
    <xf numFmtId="0" fontId="53" fillId="0" borderId="30" xfId="0" applyFont="1" applyBorder="1" applyAlignment="1">
      <alignment vertical="center"/>
    </xf>
    <xf numFmtId="0" fontId="72" fillId="0" borderId="0" xfId="0" applyFont="1" applyBorder="1" applyAlignment="1">
      <alignment vertical="center" wrapText="1"/>
    </xf>
    <xf numFmtId="0" fontId="72" fillId="0" borderId="0" xfId="0" applyFont="1" applyBorder="1" applyAlignment="1">
      <alignment vertical="center"/>
    </xf>
    <xf numFmtId="14" fontId="76" fillId="0" borderId="0" xfId="0" applyNumberFormat="1" applyFont="1" applyBorder="1" applyAlignment="1">
      <alignment horizontal="left" wrapText="1"/>
    </xf>
    <xf numFmtId="0" fontId="72" fillId="9" borderId="0" xfId="0" applyFont="1" applyFill="1" applyBorder="1" applyAlignment="1">
      <alignment horizontal="center" vertical="center" wrapText="1"/>
    </xf>
    <xf numFmtId="0" fontId="72" fillId="9" borderId="0" xfId="0" applyFont="1" applyFill="1" applyBorder="1" applyAlignment="1">
      <alignment vertical="center" wrapText="1"/>
    </xf>
    <xf numFmtId="0" fontId="77" fillId="0" borderId="0" xfId="0" applyFont="1" applyBorder="1" applyAlignment="1">
      <alignment wrapText="1"/>
    </xf>
    <xf numFmtId="14" fontId="76" fillId="0" borderId="0" xfId="0" applyNumberFormat="1" applyFont="1" applyBorder="1"/>
    <xf numFmtId="49" fontId="48" fillId="0" borderId="0" xfId="0" quotePrefix="1" applyNumberFormat="1" applyFont="1" applyBorder="1" applyAlignment="1">
      <alignment vertical="top"/>
    </xf>
    <xf numFmtId="14" fontId="53" fillId="45" borderId="13" xfId="162" applyNumberFormat="1" applyFont="1" applyFill="1" applyBorder="1" applyAlignment="1">
      <alignment horizontal="left" vertical="center"/>
    </xf>
    <xf numFmtId="14" fontId="53" fillId="45" borderId="13" xfId="162" applyNumberFormat="1" applyFont="1" applyFill="1" applyBorder="1" applyAlignment="1">
      <alignment vertical="center"/>
    </xf>
    <xf numFmtId="0" fontId="0" fillId="35" borderId="71" xfId="0" applyFill="1" applyBorder="1"/>
    <xf numFmtId="0" fontId="62" fillId="37" borderId="38" xfId="162" applyFont="1" applyFill="1" applyBorder="1" applyAlignment="1">
      <alignment horizontal="center" vertical="center" textRotation="90"/>
    </xf>
    <xf numFmtId="14" fontId="53" fillId="35" borderId="13" xfId="162" applyNumberFormat="1" applyFont="1" applyFill="1" applyBorder="1" applyAlignment="1">
      <alignment horizontal="left" vertical="center"/>
    </xf>
    <xf numFmtId="14" fontId="46" fillId="35" borderId="13" xfId="162" applyNumberFormat="1" applyFont="1" applyFill="1" applyBorder="1" applyAlignment="1">
      <alignment horizontal="left" vertical="center"/>
    </xf>
    <xf numFmtId="14" fontId="61" fillId="35" borderId="13" xfId="162" applyNumberFormat="1" applyFont="1" applyFill="1" applyBorder="1" applyAlignment="1">
      <alignment horizontal="left" vertical="center"/>
    </xf>
    <xf numFmtId="0" fontId="23" fillId="0" borderId="0" xfId="162" applyFill="1"/>
    <xf numFmtId="1" fontId="46" fillId="0" borderId="13" xfId="162" applyNumberFormat="1" applyFont="1" applyBorder="1" applyAlignment="1">
      <alignment horizontal="center" vertical="center" wrapText="1"/>
    </xf>
    <xf numFmtId="0" fontId="89" fillId="0" borderId="25" xfId="0" applyFont="1" applyBorder="1" applyAlignment="1">
      <alignment horizontal="center" vertical="center"/>
    </xf>
    <xf numFmtId="14" fontId="62" fillId="53" borderId="0" xfId="0" applyNumberFormat="1" applyFont="1" applyFill="1" applyBorder="1" applyAlignment="1">
      <alignment horizontal="center" vertical="center"/>
    </xf>
    <xf numFmtId="14" fontId="62" fillId="36" borderId="0" xfId="0" applyNumberFormat="1" applyFont="1" applyFill="1" applyBorder="1" applyAlignment="1">
      <alignment horizontal="center" vertical="center"/>
    </xf>
    <xf numFmtId="0" fontId="89" fillId="35" borderId="28" xfId="0" applyFont="1" applyFill="1" applyBorder="1" applyAlignment="1">
      <alignment horizontal="center" vertical="center"/>
    </xf>
    <xf numFmtId="0" fontId="90" fillId="40" borderId="32" xfId="0" applyFont="1" applyFill="1" applyBorder="1" applyAlignment="1">
      <alignment horizontal="center" vertical="center" wrapText="1"/>
    </xf>
    <xf numFmtId="0" fontId="89" fillId="0" borderId="0" xfId="0" applyFont="1" applyAlignment="1">
      <alignment horizontal="center" vertical="center"/>
    </xf>
    <xf numFmtId="1" fontId="89" fillId="0" borderId="0" xfId="0" applyNumberFormat="1" applyFont="1" applyAlignment="1">
      <alignment horizontal="center" vertical="center"/>
    </xf>
    <xf numFmtId="1" fontId="89" fillId="35" borderId="0" xfId="0" applyNumberFormat="1" applyFont="1" applyFill="1" applyBorder="1" applyAlignment="1">
      <alignment horizontal="center" vertical="center"/>
    </xf>
    <xf numFmtId="0" fontId="7" fillId="0" borderId="0" xfId="0" applyFont="1" applyAlignment="1">
      <alignment horizontal="center" vertical="top"/>
    </xf>
    <xf numFmtId="0" fontId="8" fillId="0" borderId="24" xfId="0" applyFont="1" applyBorder="1" applyAlignment="1">
      <alignment horizontal="center" vertical="center"/>
    </xf>
    <xf numFmtId="0" fontId="8" fillId="0" borderId="25" xfId="0" applyFont="1" applyBorder="1" applyAlignment="1">
      <alignment horizontal="center" vertical="center"/>
    </xf>
    <xf numFmtId="0" fontId="8" fillId="0" borderId="57" xfId="0" applyFont="1" applyBorder="1" applyAlignment="1">
      <alignment horizontal="center" vertical="center"/>
    </xf>
    <xf numFmtId="0" fontId="8" fillId="0" borderId="26" xfId="0" applyFont="1" applyBorder="1" applyAlignment="1">
      <alignment horizontal="center" vertical="center"/>
    </xf>
    <xf numFmtId="0" fontId="11" fillId="0" borderId="5" xfId="0" applyFont="1" applyBorder="1" applyAlignment="1">
      <alignment horizontal="left" vertical="top" wrapText="1"/>
    </xf>
    <xf numFmtId="0" fontId="11" fillId="0" borderId="28" xfId="0" applyFont="1" applyBorder="1" applyAlignment="1">
      <alignment horizontal="left" vertical="top" wrapText="1"/>
    </xf>
    <xf numFmtId="0" fontId="10" fillId="0" borderId="51" xfId="0" quotePrefix="1" applyFont="1" applyBorder="1" applyAlignment="1">
      <alignment horizontal="center"/>
    </xf>
    <xf numFmtId="0" fontId="10" fillId="0" borderId="65" xfId="0" quotePrefix="1" applyFont="1" applyBorder="1" applyAlignment="1">
      <alignment horizontal="center"/>
    </xf>
    <xf numFmtId="14" fontId="50" fillId="0" borderId="73" xfId="197" applyNumberFormat="1" applyBorder="1" applyAlignment="1">
      <alignment horizontal="center" vertical="center" wrapText="1"/>
    </xf>
    <xf numFmtId="14" fontId="50" fillId="0" borderId="74" xfId="197" applyNumberFormat="1" applyBorder="1" applyAlignment="1">
      <alignment horizontal="center" vertical="center" wrapText="1"/>
    </xf>
    <xf numFmtId="0" fontId="14" fillId="0" borderId="0" xfId="0" applyFont="1" applyBorder="1" applyAlignment="1">
      <alignment horizontal="left" vertical="top" wrapText="1"/>
    </xf>
    <xf numFmtId="0" fontId="14" fillId="0" borderId="28" xfId="0" applyFont="1" applyBorder="1" applyAlignment="1">
      <alignment horizontal="left" vertical="top" wrapText="1"/>
    </xf>
    <xf numFmtId="0" fontId="7" fillId="0" borderId="24" xfId="0" applyFont="1" applyBorder="1" applyAlignment="1">
      <alignment horizontal="left" vertical="top"/>
    </xf>
    <xf numFmtId="0" fontId="7" fillId="0" borderId="25" xfId="0" applyFont="1" applyBorder="1" applyAlignment="1">
      <alignment horizontal="left" vertical="top"/>
    </xf>
    <xf numFmtId="0" fontId="7" fillId="0" borderId="26" xfId="0" applyFont="1" applyBorder="1" applyAlignment="1">
      <alignment horizontal="left" vertical="top"/>
    </xf>
    <xf numFmtId="0" fontId="13" fillId="0" borderId="0" xfId="0" applyFont="1" applyBorder="1" applyAlignment="1">
      <alignment horizontal="left" vertical="top" wrapText="1"/>
    </xf>
    <xf numFmtId="0" fontId="13" fillId="0" borderId="28" xfId="0" applyFont="1" applyBorder="1" applyAlignment="1">
      <alignment horizontal="left" vertical="top" wrapText="1"/>
    </xf>
    <xf numFmtId="0" fontId="12" fillId="9" borderId="27" xfId="0" applyFont="1" applyFill="1" applyBorder="1" applyAlignment="1">
      <alignment horizontal="left"/>
    </xf>
    <xf numFmtId="0" fontId="12" fillId="9" borderId="0" xfId="0" applyFont="1" applyFill="1" applyBorder="1" applyAlignment="1">
      <alignment horizontal="left"/>
    </xf>
    <xf numFmtId="0" fontId="12" fillId="9" borderId="28" xfId="0" applyFont="1" applyFill="1" applyBorder="1" applyAlignment="1">
      <alignment horizontal="left"/>
    </xf>
    <xf numFmtId="0" fontId="0" fillId="0" borderId="0" xfId="0" applyBorder="1" applyAlignment="1">
      <alignment horizontal="left" vertical="top"/>
    </xf>
    <xf numFmtId="0" fontId="0" fillId="0" borderId="28" xfId="0" applyBorder="1" applyAlignment="1">
      <alignment horizontal="left" vertical="top"/>
    </xf>
    <xf numFmtId="0" fontId="68" fillId="0" borderId="43" xfId="0" applyFont="1" applyBorder="1" applyAlignment="1">
      <alignment horizontal="center" vertical="top"/>
    </xf>
    <xf numFmtId="0" fontId="68" fillId="0" borderId="44" xfId="0" applyFont="1" applyBorder="1" applyAlignment="1">
      <alignment horizontal="center" vertical="top"/>
    </xf>
    <xf numFmtId="0" fontId="68" fillId="0" borderId="45" xfId="0" applyFont="1" applyBorder="1" applyAlignment="1">
      <alignment horizontal="center" vertical="top"/>
    </xf>
    <xf numFmtId="2" fontId="51" fillId="0" borderId="50" xfId="0" applyNumberFormat="1" applyFont="1" applyBorder="1" applyAlignment="1">
      <alignment horizontal="center" wrapText="1"/>
    </xf>
    <xf numFmtId="2" fontId="51" fillId="0" borderId="33" xfId="0" applyNumberFormat="1" applyFont="1" applyBorder="1" applyAlignment="1">
      <alignment horizontal="center" wrapText="1"/>
    </xf>
    <xf numFmtId="0" fontId="7" fillId="0" borderId="4" xfId="0" applyFont="1" applyBorder="1" applyAlignment="1">
      <alignment horizontal="center"/>
    </xf>
    <xf numFmtId="0" fontId="7" fillId="0" borderId="40" xfId="0" applyFont="1" applyBorder="1" applyAlignment="1">
      <alignment horizontal="center"/>
    </xf>
    <xf numFmtId="0" fontId="44" fillId="0" borderId="35" xfId="0" applyFont="1" applyBorder="1" applyAlignment="1">
      <alignment horizontal="center" vertical="center"/>
    </xf>
    <xf numFmtId="0" fontId="44" fillId="0" borderId="11" xfId="0" applyFont="1" applyBorder="1" applyAlignment="1">
      <alignment horizontal="center" vertical="center"/>
    </xf>
    <xf numFmtId="0" fontId="44" fillId="0" borderId="36" xfId="0" applyFont="1" applyBorder="1" applyAlignment="1">
      <alignment horizontal="center" vertical="center"/>
    </xf>
    <xf numFmtId="0" fontId="49" fillId="0" borderId="37" xfId="0" applyFont="1" applyBorder="1" applyAlignment="1">
      <alignment horizontal="center"/>
    </xf>
    <xf numFmtId="0" fontId="49" fillId="0" borderId="55" xfId="0" applyFont="1" applyBorder="1" applyAlignment="1">
      <alignment horizontal="center"/>
    </xf>
    <xf numFmtId="0" fontId="58" fillId="0" borderId="49" xfId="162" applyFont="1" applyBorder="1" applyAlignment="1">
      <alignment horizontal="center" vertical="center"/>
    </xf>
    <xf numFmtId="0" fontId="58" fillId="0" borderId="8" xfId="162" applyFont="1" applyBorder="1" applyAlignment="1">
      <alignment horizontal="center" vertical="center"/>
    </xf>
    <xf numFmtId="49" fontId="59" fillId="0" borderId="27" xfId="162" applyNumberFormat="1" applyFont="1" applyBorder="1" applyAlignment="1">
      <alignment horizontal="center" vertical="center"/>
    </xf>
    <xf numFmtId="49" fontId="59" fillId="0" borderId="14" xfId="162" applyNumberFormat="1" applyFont="1" applyBorder="1" applyAlignment="1">
      <alignment horizontal="center" vertical="center"/>
    </xf>
    <xf numFmtId="14" fontId="60" fillId="0" borderId="27" xfId="162" applyNumberFormat="1" applyFont="1" applyBorder="1" applyAlignment="1">
      <alignment horizontal="center" vertical="center" wrapText="1"/>
    </xf>
    <xf numFmtId="14" fontId="60" fillId="0" borderId="14" xfId="162" applyNumberFormat="1" applyFont="1" applyBorder="1" applyAlignment="1">
      <alignment horizontal="center" vertical="center" wrapText="1"/>
    </xf>
    <xf numFmtId="1" fontId="59" fillId="0" borderId="27" xfId="162" applyNumberFormat="1" applyFont="1" applyBorder="1" applyAlignment="1">
      <alignment horizontal="center" vertical="center" wrapText="1"/>
    </xf>
    <xf numFmtId="1" fontId="59" fillId="0" borderId="14" xfId="162" applyNumberFormat="1" applyFont="1" applyBorder="1" applyAlignment="1">
      <alignment horizontal="center" vertical="center" wrapText="1"/>
    </xf>
    <xf numFmtId="1" fontId="59" fillId="0" borderId="35" xfId="162" applyNumberFormat="1" applyFont="1" applyBorder="1" applyAlignment="1">
      <alignment horizontal="center" vertical="center" wrapText="1"/>
    </xf>
    <xf numFmtId="1" fontId="59" fillId="0" borderId="12" xfId="162" applyNumberFormat="1" applyFont="1" applyBorder="1" applyAlignment="1">
      <alignment horizontal="center" vertical="center" wrapText="1"/>
    </xf>
    <xf numFmtId="0" fontId="42" fillId="0" borderId="24" xfId="0" applyFont="1" applyBorder="1" applyAlignment="1">
      <alignment horizontal="center" vertical="center"/>
    </xf>
    <xf numFmtId="0" fontId="42" fillId="0" borderId="25" xfId="0" applyFont="1" applyBorder="1" applyAlignment="1">
      <alignment horizontal="center" vertical="center"/>
    </xf>
    <xf numFmtId="0" fontId="42" fillId="0" borderId="26" xfId="0" applyFont="1" applyBorder="1" applyAlignment="1">
      <alignment horizontal="center" vertical="center"/>
    </xf>
    <xf numFmtId="0" fontId="53" fillId="0" borderId="0" xfId="0" applyFont="1" applyAlignment="1">
      <alignment horizontal="center" vertical="center"/>
    </xf>
    <xf numFmtId="0" fontId="53" fillId="0" borderId="28" xfId="0" applyFont="1" applyBorder="1" applyAlignment="1">
      <alignment horizontal="center" vertical="center"/>
    </xf>
    <xf numFmtId="0" fontId="53" fillId="0" borderId="11" xfId="0" applyFont="1" applyBorder="1" applyAlignment="1">
      <alignment horizontal="center" vertical="center"/>
    </xf>
    <xf numFmtId="0" fontId="53" fillId="0" borderId="36" xfId="0" applyFont="1" applyBorder="1" applyAlignment="1">
      <alignment horizontal="center" vertical="center"/>
    </xf>
    <xf numFmtId="0" fontId="0" fillId="0" borderId="5" xfId="0" applyBorder="1" applyAlignment="1">
      <alignment horizontal="center"/>
    </xf>
    <xf numFmtId="0" fontId="0" fillId="0" borderId="40" xfId="0" applyBorder="1" applyAlignment="1">
      <alignment horizontal="center"/>
    </xf>
    <xf numFmtId="0" fontId="0" fillId="0" borderId="0" xfId="0" applyAlignment="1">
      <alignment horizontal="center"/>
    </xf>
    <xf numFmtId="0" fontId="0" fillId="0" borderId="28"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2" fontId="51" fillId="0" borderId="43" xfId="0" applyNumberFormat="1" applyFont="1" applyBorder="1" applyAlignment="1">
      <alignment horizontal="left" vertical="top" wrapText="1"/>
    </xf>
    <xf numFmtId="2" fontId="51" fillId="0" borderId="44" xfId="0" applyNumberFormat="1" applyFont="1" applyBorder="1" applyAlignment="1">
      <alignment horizontal="left" vertical="top" wrapText="1"/>
    </xf>
    <xf numFmtId="2" fontId="51" fillId="0" borderId="45" xfId="0" applyNumberFormat="1" applyFont="1" applyBorder="1" applyAlignment="1">
      <alignment horizontal="left" vertical="top" wrapText="1"/>
    </xf>
    <xf numFmtId="0" fontId="57" fillId="0" borderId="4" xfId="0" applyFont="1" applyBorder="1" applyAlignment="1">
      <alignment horizontal="center" vertical="center" wrapText="1"/>
    </xf>
    <xf numFmtId="0" fontId="57" fillId="0" borderId="5" xfId="0" applyFont="1" applyBorder="1" applyAlignment="1">
      <alignment horizontal="center" vertical="center" wrapText="1"/>
    </xf>
    <xf numFmtId="0" fontId="57" fillId="0" borderId="9" xfId="0" applyFont="1" applyBorder="1" applyAlignment="1">
      <alignment horizontal="center" vertical="center" wrapText="1"/>
    </xf>
    <xf numFmtId="0" fontId="57" fillId="0" borderId="0" xfId="0" applyFont="1" applyAlignment="1">
      <alignment horizontal="center" vertical="center" wrapText="1"/>
    </xf>
    <xf numFmtId="0" fontId="57" fillId="0" borderId="10" xfId="0" applyFont="1" applyBorder="1" applyAlignment="1">
      <alignment horizontal="center" vertical="center" wrapText="1"/>
    </xf>
    <xf numFmtId="0" fontId="57" fillId="0" borderId="11" xfId="0" applyFont="1" applyBorder="1" applyAlignment="1">
      <alignment horizontal="center" vertical="center" wrapText="1"/>
    </xf>
    <xf numFmtId="0" fontId="7" fillId="0" borderId="0" xfId="0" applyFont="1" applyAlignment="1">
      <alignment horizontal="center" vertical="center" wrapText="1"/>
    </xf>
    <xf numFmtId="0" fontId="7" fillId="0" borderId="28" xfId="0" applyFont="1" applyBorder="1" applyAlignment="1">
      <alignment horizontal="center" vertical="center" wrapText="1"/>
    </xf>
    <xf numFmtId="0" fontId="45" fillId="44" borderId="37" xfId="162" applyFont="1" applyFill="1" applyBorder="1" applyAlignment="1">
      <alignment horizontal="center" vertical="center" textRotation="90"/>
    </xf>
    <xf numFmtId="0" fontId="45" fillId="44" borderId="38" xfId="162" applyFont="1" applyFill="1" applyBorder="1" applyAlignment="1">
      <alignment horizontal="center" vertical="center" textRotation="90"/>
    </xf>
    <xf numFmtId="0" fontId="45" fillId="44" borderId="39" xfId="162" applyFont="1" applyFill="1" applyBorder="1" applyAlignment="1">
      <alignment horizontal="center" vertical="center" textRotation="90"/>
    </xf>
    <xf numFmtId="0" fontId="62" fillId="52" borderId="37" xfId="162" applyFont="1" applyFill="1" applyBorder="1" applyAlignment="1">
      <alignment horizontal="center" vertical="center" textRotation="90"/>
    </xf>
    <xf numFmtId="0" fontId="62" fillId="52" borderId="38" xfId="162" applyFont="1" applyFill="1" applyBorder="1" applyAlignment="1">
      <alignment horizontal="center" vertical="center" textRotation="90"/>
    </xf>
    <xf numFmtId="0" fontId="58" fillId="42" borderId="37" xfId="162" applyFont="1" applyFill="1" applyBorder="1" applyAlignment="1">
      <alignment horizontal="center" vertical="center" textRotation="90"/>
    </xf>
    <xf numFmtId="0" fontId="58" fillId="42" borderId="38" xfId="162" applyFont="1" applyFill="1" applyBorder="1" applyAlignment="1">
      <alignment horizontal="center" vertical="center" textRotation="90"/>
    </xf>
    <xf numFmtId="0" fontId="58" fillId="42" borderId="39" xfId="162" applyFont="1" applyFill="1" applyBorder="1" applyAlignment="1">
      <alignment horizontal="center" vertical="center" textRotation="90"/>
    </xf>
    <xf numFmtId="0" fontId="58" fillId="43" borderId="37" xfId="162" applyFont="1" applyFill="1" applyBorder="1" applyAlignment="1">
      <alignment horizontal="center" vertical="center" textRotation="90"/>
    </xf>
    <xf numFmtId="0" fontId="58" fillId="43" borderId="38" xfId="162" applyFont="1" applyFill="1" applyBorder="1" applyAlignment="1">
      <alignment horizontal="center" vertical="center" textRotation="90"/>
    </xf>
    <xf numFmtId="0" fontId="58" fillId="43" borderId="55" xfId="162" applyFont="1" applyFill="1" applyBorder="1" applyAlignment="1">
      <alignment horizontal="center" vertical="center" textRotation="90"/>
    </xf>
    <xf numFmtId="0" fontId="46" fillId="34" borderId="38" xfId="162" applyFont="1" applyFill="1" applyBorder="1" applyAlignment="1">
      <alignment horizontal="center" vertical="center" textRotation="90" wrapText="1"/>
    </xf>
    <xf numFmtId="0" fontId="41" fillId="38" borderId="37" xfId="162" applyFont="1" applyFill="1" applyBorder="1" applyAlignment="1">
      <alignment horizontal="center" vertical="center" textRotation="90"/>
    </xf>
    <xf numFmtId="0" fontId="41" fillId="38" borderId="39" xfId="162" applyFont="1" applyFill="1" applyBorder="1" applyAlignment="1">
      <alignment horizontal="center" vertical="center" textRotation="90"/>
    </xf>
    <xf numFmtId="0" fontId="46" fillId="41" borderId="37" xfId="162" applyFont="1" applyFill="1" applyBorder="1" applyAlignment="1">
      <alignment horizontal="center" vertical="center" textRotation="90"/>
    </xf>
    <xf numFmtId="0" fontId="46" fillId="41" borderId="38" xfId="162" applyFont="1" applyFill="1" applyBorder="1" applyAlignment="1">
      <alignment horizontal="center" vertical="center" textRotation="90"/>
    </xf>
    <xf numFmtId="0" fontId="46" fillId="41" borderId="39" xfId="162" applyFont="1" applyFill="1" applyBorder="1" applyAlignment="1">
      <alignment horizontal="center" vertical="center" textRotation="90"/>
    </xf>
    <xf numFmtId="0" fontId="45" fillId="39" borderId="37" xfId="162" applyFont="1" applyFill="1" applyBorder="1" applyAlignment="1">
      <alignment horizontal="center" vertical="center" textRotation="90"/>
    </xf>
    <xf numFmtId="0" fontId="45" fillId="39" borderId="38" xfId="162" applyFont="1" applyFill="1" applyBorder="1" applyAlignment="1">
      <alignment horizontal="center" vertical="center" textRotation="90"/>
    </xf>
    <xf numFmtId="0" fontId="45" fillId="39" borderId="39" xfId="162" applyFont="1" applyFill="1" applyBorder="1" applyAlignment="1">
      <alignment horizontal="center" vertical="center" textRotation="90"/>
    </xf>
    <xf numFmtId="0" fontId="46" fillId="34" borderId="37" xfId="162" applyFont="1" applyFill="1" applyBorder="1" applyAlignment="1">
      <alignment horizontal="center" vertical="center" textRotation="90"/>
    </xf>
    <xf numFmtId="0" fontId="46" fillId="34" borderId="38" xfId="162" applyFont="1" applyFill="1" applyBorder="1" applyAlignment="1">
      <alignment horizontal="center" vertical="center" textRotation="90"/>
    </xf>
    <xf numFmtId="0" fontId="62" fillId="37" borderId="38" xfId="162" applyFont="1" applyFill="1" applyBorder="1" applyAlignment="1">
      <alignment horizontal="center" vertical="center" textRotation="90"/>
    </xf>
    <xf numFmtId="0" fontId="58" fillId="55" borderId="37" xfId="162" applyFont="1" applyFill="1" applyBorder="1" applyAlignment="1">
      <alignment horizontal="center" vertical="center" textRotation="90"/>
    </xf>
    <xf numFmtId="0" fontId="58" fillId="55" borderId="38" xfId="162" applyFont="1" applyFill="1" applyBorder="1" applyAlignment="1">
      <alignment horizontal="center" vertical="center" textRotation="90"/>
    </xf>
    <xf numFmtId="0" fontId="58" fillId="55" borderId="39" xfId="162" applyFont="1" applyFill="1" applyBorder="1" applyAlignment="1">
      <alignment horizontal="center" vertical="center" textRotation="90"/>
    </xf>
    <xf numFmtId="1" fontId="89" fillId="0" borderId="51" xfId="0" applyNumberFormat="1" applyFont="1" applyBorder="1" applyAlignment="1">
      <alignment horizontal="center" vertical="center"/>
    </xf>
    <xf numFmtId="1" fontId="89" fillId="0" borderId="65" xfId="0" applyNumberFormat="1" applyFont="1" applyBorder="1" applyAlignment="1">
      <alignment horizontal="center" vertical="center"/>
    </xf>
    <xf numFmtId="1" fontId="89" fillId="0" borderId="66" xfId="0" applyNumberFormat="1" applyFont="1" applyBorder="1" applyAlignment="1">
      <alignment horizontal="center" vertical="center"/>
    </xf>
    <xf numFmtId="1" fontId="62" fillId="0" borderId="51" xfId="0" applyNumberFormat="1" applyFont="1" applyBorder="1" applyAlignment="1">
      <alignment horizontal="center" vertical="center"/>
    </xf>
    <xf numFmtId="1" fontId="62" fillId="0" borderId="65" xfId="0" applyNumberFormat="1" applyFont="1" applyBorder="1" applyAlignment="1">
      <alignment horizontal="center" vertical="center"/>
    </xf>
    <xf numFmtId="1" fontId="62" fillId="0" borderId="66" xfId="0" applyNumberFormat="1" applyFont="1" applyBorder="1" applyAlignment="1">
      <alignment horizontal="center" vertical="center"/>
    </xf>
    <xf numFmtId="1" fontId="89" fillId="0" borderId="51" xfId="0" applyNumberFormat="1" applyFont="1" applyBorder="1" applyAlignment="1">
      <alignment horizontal="center" vertical="center" wrapText="1"/>
    </xf>
    <xf numFmtId="1" fontId="89" fillId="0" borderId="65" xfId="0" applyNumberFormat="1" applyFont="1" applyBorder="1" applyAlignment="1">
      <alignment horizontal="center" vertical="center" wrapText="1"/>
    </xf>
    <xf numFmtId="1" fontId="89" fillId="0" borderId="66" xfId="0" applyNumberFormat="1" applyFont="1" applyBorder="1" applyAlignment="1">
      <alignment horizontal="center" vertical="center" wrapText="1"/>
    </xf>
    <xf numFmtId="0" fontId="57" fillId="0" borderId="41" xfId="0" applyFont="1" applyBorder="1" applyAlignment="1">
      <alignment horizontal="center" vertical="center" wrapText="1"/>
    </xf>
    <xf numFmtId="0" fontId="57" fillId="0" borderId="6" xfId="0" applyFont="1" applyBorder="1" applyAlignment="1">
      <alignment horizontal="center" vertical="center" wrapText="1"/>
    </xf>
    <xf numFmtId="0" fontId="57" fillId="0" borderId="7" xfId="0" applyFont="1" applyBorder="1" applyAlignment="1">
      <alignment horizontal="center" vertical="center" wrapText="1"/>
    </xf>
    <xf numFmtId="0" fontId="53" fillId="0" borderId="4" xfId="0" applyFont="1" applyBorder="1" applyAlignment="1">
      <alignment horizontal="center" vertical="center"/>
    </xf>
    <xf numFmtId="0" fontId="53" fillId="0" borderId="5" xfId="0" applyFont="1" applyBorder="1" applyAlignment="1">
      <alignment horizontal="center" vertical="center"/>
    </xf>
    <xf numFmtId="0" fontId="53" fillId="0" borderId="9" xfId="0" applyFont="1" applyBorder="1" applyAlignment="1">
      <alignment horizontal="center" vertical="center"/>
    </xf>
    <xf numFmtId="0" fontId="53" fillId="0" borderId="10" xfId="0" applyFont="1" applyBorder="1" applyAlignment="1">
      <alignment horizontal="center" vertical="center"/>
    </xf>
    <xf numFmtId="0" fontId="9" fillId="49" borderId="37" xfId="0" applyFont="1" applyFill="1" applyBorder="1" applyAlignment="1">
      <alignment horizontal="center" vertical="center"/>
    </xf>
    <xf numFmtId="0" fontId="9" fillId="49" borderId="38" xfId="0" applyFont="1" applyFill="1" applyBorder="1" applyAlignment="1">
      <alignment horizontal="center" vertical="center"/>
    </xf>
    <xf numFmtId="0" fontId="9" fillId="49" borderId="39" xfId="0" applyFont="1" applyFill="1" applyBorder="1" applyAlignment="1">
      <alignment horizontal="center" vertical="center"/>
    </xf>
    <xf numFmtId="0" fontId="9" fillId="50" borderId="37" xfId="0" applyFont="1" applyFill="1" applyBorder="1" applyAlignment="1">
      <alignment horizontal="center" vertical="center"/>
    </xf>
    <xf numFmtId="0" fontId="9" fillId="50" borderId="38" xfId="0" applyFont="1" applyFill="1" applyBorder="1" applyAlignment="1">
      <alignment horizontal="center" vertical="center"/>
    </xf>
    <xf numFmtId="0" fontId="0" fillId="0" borderId="41" xfId="0" applyBorder="1" applyAlignment="1">
      <alignment horizontal="center"/>
    </xf>
    <xf numFmtId="0" fontId="0" fillId="0" borderId="6" xfId="0" applyBorder="1" applyAlignment="1">
      <alignment horizontal="center"/>
    </xf>
    <xf numFmtId="0" fontId="0" fillId="0" borderId="42" xfId="0" applyBorder="1" applyAlignment="1">
      <alignment horizontal="center"/>
    </xf>
    <xf numFmtId="0" fontId="9" fillId="42" borderId="38" xfId="0" applyFont="1" applyFill="1" applyBorder="1" applyAlignment="1">
      <alignment horizontal="center" vertical="center"/>
    </xf>
    <xf numFmtId="0" fontId="9" fillId="42" borderId="39" xfId="0" applyFont="1" applyFill="1" applyBorder="1" applyAlignment="1">
      <alignment horizontal="center" vertical="center"/>
    </xf>
    <xf numFmtId="0" fontId="9" fillId="34" borderId="37" xfId="0" applyFont="1" applyFill="1" applyBorder="1" applyAlignment="1">
      <alignment horizontal="center" vertical="center"/>
    </xf>
    <xf numFmtId="0" fontId="9" fillId="34" borderId="38" xfId="0" applyFont="1" applyFill="1" applyBorder="1" applyAlignment="1">
      <alignment horizontal="center" vertical="center"/>
    </xf>
    <xf numFmtId="0" fontId="9" fillId="34" borderId="39" xfId="0" applyFont="1" applyFill="1" applyBorder="1" applyAlignment="1">
      <alignment horizontal="center" vertical="center"/>
    </xf>
    <xf numFmtId="0" fontId="9" fillId="51" borderId="37" xfId="0" applyFont="1" applyFill="1" applyBorder="1" applyAlignment="1">
      <alignment horizontal="center" vertical="center"/>
    </xf>
    <xf numFmtId="0" fontId="9" fillId="51" borderId="38" xfId="0" applyFont="1" applyFill="1" applyBorder="1" applyAlignment="1">
      <alignment horizontal="center" vertical="center"/>
    </xf>
    <xf numFmtId="0" fontId="9" fillId="51" borderId="39" xfId="0" applyFont="1" applyFill="1" applyBorder="1" applyAlignment="1">
      <alignment horizontal="center" vertical="center"/>
    </xf>
    <xf numFmtId="0" fontId="49" fillId="0" borderId="49" xfId="0" applyFont="1" applyBorder="1" applyAlignment="1">
      <alignment horizontal="center"/>
    </xf>
    <xf numFmtId="0" fontId="49" fillId="0" borderId="5" xfId="0" applyFont="1" applyBorder="1" applyAlignment="1">
      <alignment horizontal="center"/>
    </xf>
    <xf numFmtId="0" fontId="49" fillId="0" borderId="27" xfId="0" applyFont="1" applyBorder="1" applyAlignment="1">
      <alignment horizontal="center"/>
    </xf>
    <xf numFmtId="0" fontId="49" fillId="0" borderId="0" xfId="0" applyFont="1" applyAlignment="1">
      <alignment horizontal="center"/>
    </xf>
    <xf numFmtId="0" fontId="49" fillId="0" borderId="31" xfId="0" applyFont="1" applyBorder="1" applyAlignment="1">
      <alignment horizontal="center"/>
    </xf>
    <xf numFmtId="0" fontId="49" fillId="0" borderId="32" xfId="0" applyFont="1" applyBorder="1" applyAlignment="1">
      <alignment horizontal="center"/>
    </xf>
    <xf numFmtId="0" fontId="49" fillId="0" borderId="5" xfId="0" applyFont="1" applyBorder="1" applyAlignment="1">
      <alignment horizontal="left" vertical="top"/>
    </xf>
    <xf numFmtId="0" fontId="49" fillId="0" borderId="40" xfId="0" applyFont="1" applyBorder="1" applyAlignment="1">
      <alignment horizontal="left" vertical="top"/>
    </xf>
    <xf numFmtId="0" fontId="49" fillId="0" borderId="0" xfId="0" applyFont="1" applyAlignment="1">
      <alignment horizontal="left" vertical="top"/>
    </xf>
    <xf numFmtId="0" fontId="49" fillId="0" borderId="28" xfId="0" applyFont="1" applyBorder="1" applyAlignment="1">
      <alignment horizontal="left" vertical="top"/>
    </xf>
    <xf numFmtId="2" fontId="51" fillId="0" borderId="50" xfId="0" applyNumberFormat="1" applyFont="1" applyBorder="1" applyAlignment="1">
      <alignment horizontal="left" vertical="top" wrapText="1"/>
    </xf>
    <xf numFmtId="2" fontId="51" fillId="0" borderId="32" xfId="0" applyNumberFormat="1" applyFont="1" applyBorder="1" applyAlignment="1">
      <alignment horizontal="left" vertical="top" wrapText="1"/>
    </xf>
    <xf numFmtId="2" fontId="51" fillId="0" borderId="33" xfId="0" applyNumberFormat="1" applyFont="1" applyBorder="1" applyAlignment="1">
      <alignment horizontal="left" vertical="top" wrapText="1"/>
    </xf>
    <xf numFmtId="0" fontId="44" fillId="0" borderId="27" xfId="0" applyFont="1" applyBorder="1" applyAlignment="1">
      <alignment horizontal="center" vertical="center"/>
    </xf>
    <xf numFmtId="0" fontId="44" fillId="0" borderId="0" xfId="0" applyFont="1" applyAlignment="1">
      <alignment horizontal="center" vertical="center"/>
    </xf>
    <xf numFmtId="0" fontId="44" fillId="0" borderId="28" xfId="0" applyFont="1" applyBorder="1" applyAlignment="1">
      <alignment horizontal="center" vertical="center"/>
    </xf>
    <xf numFmtId="0" fontId="45" fillId="0" borderId="13" xfId="0" applyFont="1" applyBorder="1" applyAlignment="1">
      <alignment horizontal="center" vertical="center"/>
    </xf>
    <xf numFmtId="0" fontId="45" fillId="0" borderId="30" xfId="0" applyFont="1" applyBorder="1" applyAlignment="1">
      <alignment horizontal="center" vertical="center"/>
    </xf>
    <xf numFmtId="0" fontId="49" fillId="35" borderId="29" xfId="0" applyFont="1" applyFill="1" applyBorder="1" applyAlignment="1">
      <alignment horizontal="center"/>
    </xf>
    <xf numFmtId="0" fontId="49" fillId="35" borderId="13" xfId="0" applyFont="1" applyFill="1" applyBorder="1" applyAlignment="1">
      <alignment horizontal="center"/>
    </xf>
    <xf numFmtId="0" fontId="7" fillId="0" borderId="13" xfId="0" applyFont="1" applyBorder="1" applyAlignment="1">
      <alignment horizontal="center" vertical="center" wrapText="1"/>
    </xf>
    <xf numFmtId="0" fontId="9" fillId="39" borderId="37" xfId="0" applyFont="1" applyFill="1" applyBorder="1" applyAlignment="1">
      <alignment horizontal="center" vertical="center"/>
    </xf>
    <xf numFmtId="0" fontId="9" fillId="39" borderId="38" xfId="0" applyFont="1" applyFill="1" applyBorder="1" applyAlignment="1">
      <alignment horizontal="center" vertical="center"/>
    </xf>
    <xf numFmtId="0" fontId="9" fillId="39" borderId="39" xfId="0" applyFont="1" applyFill="1" applyBorder="1" applyAlignment="1">
      <alignment horizontal="center" vertical="center"/>
    </xf>
    <xf numFmtId="0" fontId="68" fillId="0" borderId="24" xfId="0" applyFont="1" applyBorder="1" applyAlignment="1">
      <alignment horizontal="center" vertical="top"/>
    </xf>
    <xf numFmtId="0" fontId="68" fillId="0" borderId="25" xfId="0" applyFont="1" applyBorder="1" applyAlignment="1">
      <alignment horizontal="center" vertical="top"/>
    </xf>
    <xf numFmtId="0" fontId="68" fillId="0" borderId="26" xfId="0" applyFont="1" applyBorder="1" applyAlignment="1">
      <alignment horizontal="center" vertical="top"/>
    </xf>
    <xf numFmtId="0" fontId="0" fillId="0" borderId="27"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2" fontId="51" fillId="0" borderId="31" xfId="0" applyNumberFormat="1" applyFont="1" applyBorder="1" applyAlignment="1">
      <alignment horizontal="left" vertical="top" wrapText="1"/>
    </xf>
    <xf numFmtId="0" fontId="44" fillId="0" borderId="43" xfId="0" applyFont="1" applyBorder="1" applyAlignment="1">
      <alignment horizontal="center" vertical="center"/>
    </xf>
    <xf numFmtId="0" fontId="44" fillId="0" borderId="44" xfId="0" applyFont="1" applyBorder="1" applyAlignment="1">
      <alignment horizontal="center" vertical="center"/>
    </xf>
    <xf numFmtId="0" fontId="44" fillId="0" borderId="45" xfId="0" applyFont="1" applyBorder="1" applyAlignment="1">
      <alignment horizontal="center" vertical="center"/>
    </xf>
    <xf numFmtId="0" fontId="0" fillId="54" borderId="25" xfId="0" applyFill="1" applyBorder="1" applyAlignment="1">
      <alignment horizontal="center"/>
    </xf>
    <xf numFmtId="0" fontId="0" fillId="54" borderId="26" xfId="0" applyFill="1" applyBorder="1" applyAlignment="1">
      <alignment horizontal="center"/>
    </xf>
    <xf numFmtId="0" fontId="0" fillId="54" borderId="0" xfId="0" applyFill="1" applyAlignment="1">
      <alignment horizontal="center"/>
    </xf>
    <xf numFmtId="0" fontId="0" fillId="54" borderId="28" xfId="0" applyFill="1" applyBorder="1" applyAlignment="1">
      <alignment horizontal="center"/>
    </xf>
    <xf numFmtId="0" fontId="56" fillId="0" borderId="43" xfId="0" applyFont="1" applyBorder="1" applyAlignment="1">
      <alignment horizontal="center" vertical="center"/>
    </xf>
    <xf numFmtId="0" fontId="56" fillId="0" borderId="44" xfId="0" applyFont="1" applyBorder="1" applyAlignment="1">
      <alignment horizontal="center" vertical="center"/>
    </xf>
    <xf numFmtId="0" fontId="56" fillId="0" borderId="45" xfId="0" applyFont="1" applyBorder="1" applyAlignment="1">
      <alignment horizontal="center" vertical="center"/>
    </xf>
    <xf numFmtId="0" fontId="82" fillId="0" borderId="9" xfId="0" applyFont="1" applyBorder="1" applyAlignment="1">
      <alignment horizontal="center" vertical="center"/>
    </xf>
    <xf numFmtId="0" fontId="82" fillId="0" borderId="28" xfId="0" applyFont="1" applyBorder="1" applyAlignment="1">
      <alignment horizontal="center" vertical="center"/>
    </xf>
    <xf numFmtId="0" fontId="82" fillId="0" borderId="9" xfId="0" applyFont="1" applyBorder="1" applyAlignment="1">
      <alignment horizontal="center" vertical="center" wrapText="1"/>
    </xf>
    <xf numFmtId="0" fontId="82" fillId="0" borderId="28" xfId="0" applyFont="1" applyBorder="1" applyAlignment="1">
      <alignment horizontal="center" vertical="center" wrapText="1"/>
    </xf>
    <xf numFmtId="2" fontId="82" fillId="0" borderId="50" xfId="0" applyNumberFormat="1" applyFont="1" applyBorder="1" applyAlignment="1">
      <alignment horizontal="center" vertical="center" wrapText="1"/>
    </xf>
    <xf numFmtId="2" fontId="82" fillId="0" borderId="28" xfId="0" applyNumberFormat="1" applyFont="1" applyBorder="1" applyAlignment="1">
      <alignment horizontal="center" vertical="center" wrapText="1"/>
    </xf>
    <xf numFmtId="0" fontId="7" fillId="0" borderId="24"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26" xfId="0" applyFont="1" applyBorder="1" applyAlignment="1">
      <alignment horizontal="center" vertical="center" wrapText="1"/>
    </xf>
    <xf numFmtId="0" fontId="0" fillId="0" borderId="24" xfId="0" applyBorder="1" applyAlignment="1">
      <alignment horizontal="center"/>
    </xf>
    <xf numFmtId="0" fontId="0" fillId="0" borderId="26" xfId="0" applyBorder="1" applyAlignment="1">
      <alignment horizontal="center"/>
    </xf>
    <xf numFmtId="0" fontId="0" fillId="0" borderId="33" xfId="0" applyBorder="1" applyAlignment="1">
      <alignment horizontal="center"/>
    </xf>
    <xf numFmtId="0" fontId="0" fillId="54" borderId="24" xfId="0" applyFill="1" applyBorder="1" applyAlignment="1">
      <alignment horizontal="center"/>
    </xf>
    <xf numFmtId="0" fontId="0" fillId="54" borderId="27" xfId="0" applyFill="1" applyBorder="1" applyAlignment="1">
      <alignment horizontal="center"/>
    </xf>
    <xf numFmtId="0" fontId="0" fillId="54" borderId="31" xfId="0" applyFill="1" applyBorder="1" applyAlignment="1">
      <alignment horizontal="center"/>
    </xf>
    <xf numFmtId="0" fontId="0" fillId="54" borderId="33" xfId="0" applyFill="1" applyBorder="1" applyAlignment="1">
      <alignment horizontal="center"/>
    </xf>
    <xf numFmtId="0" fontId="0" fillId="0" borderId="25" xfId="0" applyBorder="1" applyAlignment="1">
      <alignment horizontal="center"/>
    </xf>
    <xf numFmtId="0" fontId="0" fillId="0" borderId="13" xfId="0" applyBorder="1" applyAlignment="1">
      <alignment horizontal="center"/>
    </xf>
    <xf numFmtId="0" fontId="0" fillId="0" borderId="30" xfId="0" applyBorder="1" applyAlignment="1">
      <alignment horizontal="center"/>
    </xf>
    <xf numFmtId="0" fontId="0" fillId="0" borderId="13" xfId="0" applyBorder="1" applyAlignment="1">
      <alignment horizontal="left"/>
    </xf>
    <xf numFmtId="0" fontId="88" fillId="0" borderId="43" xfId="0" applyFont="1" applyBorder="1" applyAlignment="1">
      <alignment horizontal="left" vertical="top"/>
    </xf>
    <xf numFmtId="0" fontId="88" fillId="0" borderId="44" xfId="0" applyFont="1" applyBorder="1" applyAlignment="1">
      <alignment horizontal="left" vertical="top"/>
    </xf>
    <xf numFmtId="0" fontId="88" fillId="0" borderId="45" xfId="0" applyFont="1" applyBorder="1" applyAlignment="1">
      <alignment horizontal="left" vertical="top"/>
    </xf>
    <xf numFmtId="0" fontId="0" fillId="0" borderId="68" xfId="0" applyBorder="1" applyAlignment="1">
      <alignment horizontal="center"/>
    </xf>
    <xf numFmtId="0" fontId="0" fillId="0" borderId="14" xfId="0" applyBorder="1" applyAlignment="1">
      <alignment horizontal="center"/>
    </xf>
    <xf numFmtId="0" fontId="0" fillId="0" borderId="69" xfId="0"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0" fillId="0" borderId="50" xfId="0" applyBorder="1" applyAlignment="1">
      <alignment horizontal="center"/>
    </xf>
    <xf numFmtId="0" fontId="0" fillId="0" borderId="45" xfId="0" applyBorder="1" applyAlignment="1">
      <alignment horizontal="center"/>
    </xf>
    <xf numFmtId="0" fontId="56" fillId="0" borderId="29" xfId="0" applyFont="1" applyBorder="1" applyAlignment="1">
      <alignment horizontal="center" vertical="top"/>
    </xf>
    <xf numFmtId="0" fontId="56" fillId="0" borderId="13" xfId="0" applyFont="1" applyBorder="1" applyAlignment="1">
      <alignment horizontal="center" vertical="top"/>
    </xf>
    <xf numFmtId="0" fontId="56" fillId="0" borderId="30" xfId="0" applyFont="1" applyBorder="1" applyAlignment="1">
      <alignment horizontal="center" vertical="top"/>
    </xf>
    <xf numFmtId="0" fontId="0" fillId="0" borderId="41" xfId="0" applyBorder="1" applyAlignment="1">
      <alignment horizontal="left"/>
    </xf>
    <xf numFmtId="0" fontId="0" fillId="0" borderId="7" xfId="0" applyBorder="1" applyAlignment="1">
      <alignment horizontal="left"/>
    </xf>
    <xf numFmtId="0" fontId="86" fillId="0" borderId="39" xfId="0" applyFont="1" applyBorder="1" applyAlignment="1">
      <alignment horizontal="center" vertical="center"/>
    </xf>
    <xf numFmtId="0" fontId="86" fillId="0" borderId="66" xfId="0" applyFont="1" applyBorder="1" applyAlignment="1">
      <alignment horizontal="center" vertical="center"/>
    </xf>
    <xf numFmtId="0" fontId="86" fillId="0" borderId="67" xfId="0" applyFont="1" applyBorder="1" applyAlignment="1">
      <alignment horizontal="center" vertical="center"/>
    </xf>
    <xf numFmtId="0" fontId="9" fillId="0" borderId="24" xfId="0" applyFont="1" applyBorder="1" applyAlignment="1">
      <alignment horizontal="left" vertical="top"/>
    </xf>
    <xf numFmtId="0" fontId="9" fillId="0" borderId="25" xfId="0" applyFont="1" applyBorder="1" applyAlignment="1">
      <alignment horizontal="left" vertical="top"/>
    </xf>
    <xf numFmtId="0" fontId="9" fillId="0" borderId="26" xfId="0" applyFont="1" applyBorder="1" applyAlignment="1">
      <alignment horizontal="left" vertical="top"/>
    </xf>
    <xf numFmtId="0" fontId="86" fillId="0" borderId="24" xfId="0" applyFont="1" applyBorder="1" applyAlignment="1">
      <alignment horizontal="center" vertical="center"/>
    </xf>
    <xf numFmtId="0" fontId="86" fillId="0" borderId="25" xfId="0" applyFont="1" applyBorder="1" applyAlignment="1">
      <alignment horizontal="center" vertical="center"/>
    </xf>
    <xf numFmtId="0" fontId="86" fillId="0" borderId="26" xfId="0" applyFont="1" applyBorder="1" applyAlignment="1">
      <alignment horizontal="center" vertical="center"/>
    </xf>
    <xf numFmtId="0" fontId="7" fillId="0" borderId="5" xfId="0" applyFont="1" applyBorder="1" applyAlignment="1">
      <alignment horizontal="left" vertical="top" wrapText="1"/>
    </xf>
    <xf numFmtId="0" fontId="7" fillId="0" borderId="40" xfId="0" applyFont="1" applyBorder="1" applyAlignment="1">
      <alignment horizontal="left" vertical="top" wrapText="1"/>
    </xf>
    <xf numFmtId="0" fontId="7" fillId="0" borderId="0" xfId="0" applyFont="1" applyAlignment="1">
      <alignment horizontal="left" vertical="top" wrapText="1"/>
    </xf>
    <xf numFmtId="0" fontId="7" fillId="0" borderId="28" xfId="0" applyFont="1" applyBorder="1" applyAlignment="1">
      <alignment horizontal="left" vertical="top" wrapText="1"/>
    </xf>
    <xf numFmtId="0" fontId="49" fillId="0" borderId="0" xfId="0" applyFont="1" applyBorder="1" applyAlignment="1">
      <alignment horizontal="center"/>
    </xf>
    <xf numFmtId="0" fontId="7" fillId="0" borderId="13" xfId="0" applyFont="1" applyBorder="1" applyAlignment="1">
      <alignment horizontal="left" vertical="top" wrapText="1"/>
    </xf>
    <xf numFmtId="0" fontId="7" fillId="0" borderId="41" xfId="0" applyFont="1" applyBorder="1" applyAlignment="1">
      <alignment horizontal="left" vertical="top" wrapText="1"/>
    </xf>
    <xf numFmtId="0" fontId="7" fillId="0" borderId="30" xfId="0" applyFont="1" applyBorder="1" applyAlignment="1">
      <alignment horizontal="left" vertical="top" wrapText="1"/>
    </xf>
    <xf numFmtId="2" fontId="51" fillId="0" borderId="59" xfId="0" applyNumberFormat="1" applyFont="1" applyBorder="1" applyAlignment="1">
      <alignment horizontal="left" vertical="top" wrapText="1"/>
    </xf>
    <xf numFmtId="2" fontId="51" fillId="0" borderId="75" xfId="0" applyNumberFormat="1" applyFont="1" applyBorder="1" applyAlignment="1">
      <alignment horizontal="left" vertical="top" wrapText="1"/>
    </xf>
    <xf numFmtId="2" fontId="51" fillId="0" borderId="60" xfId="0" applyNumberFormat="1" applyFont="1" applyBorder="1" applyAlignment="1">
      <alignment horizontal="left" vertical="top" wrapText="1"/>
    </xf>
    <xf numFmtId="0" fontId="72" fillId="0" borderId="56" xfId="0" applyFont="1" applyBorder="1" applyAlignment="1">
      <alignment horizontal="center" vertical="center"/>
    </xf>
    <xf numFmtId="0" fontId="72" fillId="0" borderId="57" xfId="0" applyFont="1" applyBorder="1" applyAlignment="1">
      <alignment horizontal="center" vertical="center"/>
    </xf>
    <xf numFmtId="0" fontId="72" fillId="0" borderId="58" xfId="0" applyFont="1" applyBorder="1" applyAlignment="1">
      <alignment horizontal="center" vertical="center"/>
    </xf>
    <xf numFmtId="0" fontId="58" fillId="45" borderId="29" xfId="0" applyFont="1" applyFill="1" applyBorder="1" applyAlignment="1">
      <alignment horizontal="center" vertical="center"/>
    </xf>
    <xf numFmtId="0" fontId="58" fillId="45" borderId="13" xfId="0" applyFont="1" applyFill="1" applyBorder="1" applyAlignment="1">
      <alignment horizontal="center" vertical="center"/>
    </xf>
    <xf numFmtId="0" fontId="58" fillId="45" borderId="41" xfId="0" applyFont="1" applyFill="1" applyBorder="1" applyAlignment="1">
      <alignment horizontal="center" vertical="center"/>
    </xf>
    <xf numFmtId="0" fontId="58" fillId="45" borderId="30" xfId="0" applyFont="1" applyFill="1" applyBorder="1" applyAlignment="1">
      <alignment horizontal="center" vertical="center"/>
    </xf>
    <xf numFmtId="0" fontId="72" fillId="9" borderId="29" xfId="0" applyFont="1" applyFill="1" applyBorder="1" applyAlignment="1">
      <alignment horizontal="left" vertical="center" wrapText="1"/>
    </xf>
    <xf numFmtId="0" fontId="72" fillId="9" borderId="13" xfId="0" applyFont="1" applyFill="1" applyBorder="1" applyAlignment="1">
      <alignment horizontal="left" vertical="center" wrapText="1"/>
    </xf>
    <xf numFmtId="14" fontId="72" fillId="9" borderId="13" xfId="0" applyNumberFormat="1" applyFont="1" applyFill="1" applyBorder="1" applyAlignment="1">
      <alignment horizontal="center" vertical="center" wrapText="1"/>
    </xf>
    <xf numFmtId="0" fontId="72" fillId="9" borderId="29" xfId="0" applyFont="1" applyFill="1" applyBorder="1" applyAlignment="1">
      <alignment horizontal="center" vertical="center" wrapText="1"/>
    </xf>
    <xf numFmtId="0" fontId="72" fillId="9" borderId="13" xfId="0" applyFont="1" applyFill="1" applyBorder="1" applyAlignment="1">
      <alignment horizontal="center" vertical="center" wrapText="1"/>
    </xf>
    <xf numFmtId="0" fontId="60" fillId="40" borderId="30" xfId="0" applyFont="1" applyFill="1" applyBorder="1" applyAlignment="1">
      <alignment horizontal="center" vertical="center" wrapText="1"/>
    </xf>
    <xf numFmtId="0" fontId="57" fillId="0" borderId="8" xfId="0" applyFont="1" applyBorder="1" applyAlignment="1">
      <alignment horizontal="center" vertical="center" wrapText="1"/>
    </xf>
    <xf numFmtId="0" fontId="57" fillId="0" borderId="0" xfId="0" applyFont="1" applyBorder="1" applyAlignment="1">
      <alignment horizontal="center" vertical="center" wrapText="1"/>
    </xf>
    <xf numFmtId="0" fontId="57" fillId="0" borderId="14" xfId="0" applyFont="1" applyBorder="1" applyAlignment="1">
      <alignment horizontal="center" vertical="center" wrapText="1"/>
    </xf>
    <xf numFmtId="0" fontId="57" fillId="0" borderId="12" xfId="0" applyFont="1" applyBorder="1" applyAlignment="1">
      <alignment horizontal="center" vertical="center" wrapText="1"/>
    </xf>
    <xf numFmtId="0" fontId="53" fillId="0" borderId="40" xfId="0" applyFont="1" applyBorder="1" applyAlignment="1">
      <alignment horizontal="center" vertical="center"/>
    </xf>
    <xf numFmtId="0" fontId="53" fillId="0" borderId="0" xfId="0" applyFont="1" applyBorder="1" applyAlignment="1">
      <alignment horizontal="center" vertical="center"/>
    </xf>
    <xf numFmtId="0" fontId="43" fillId="0" borderId="4" xfId="0" applyFont="1" applyBorder="1" applyAlignment="1">
      <alignment horizontal="center" vertical="center"/>
    </xf>
    <xf numFmtId="0" fontId="43" fillId="0" borderId="5" xfId="0" applyFont="1" applyBorder="1" applyAlignment="1">
      <alignment horizontal="center" vertical="center"/>
    </xf>
    <xf numFmtId="0" fontId="43" fillId="0" borderId="9" xfId="0" applyFont="1" applyBorder="1" applyAlignment="1">
      <alignment horizontal="center" vertical="center"/>
    </xf>
    <xf numFmtId="0" fontId="43" fillId="0" borderId="0" xfId="0" applyFont="1" applyBorder="1" applyAlignment="1">
      <alignment horizontal="center" vertical="center"/>
    </xf>
    <xf numFmtId="0" fontId="43" fillId="0" borderId="10" xfId="0" applyFont="1" applyBorder="1" applyAlignment="1">
      <alignment horizontal="center" vertical="center"/>
    </xf>
    <xf numFmtId="0" fontId="43" fillId="0" borderId="11" xfId="0" applyFont="1" applyBorder="1" applyAlignment="1">
      <alignment horizontal="center" vertical="center"/>
    </xf>
    <xf numFmtId="0" fontId="74" fillId="0" borderId="13" xfId="197" applyFont="1" applyBorder="1" applyAlignment="1">
      <alignment horizontal="center" vertical="center" wrapText="1"/>
    </xf>
    <xf numFmtId="0" fontId="54" fillId="0" borderId="13" xfId="162" applyFont="1" applyBorder="1" applyAlignment="1">
      <alignment horizontal="center" vertical="center"/>
    </xf>
    <xf numFmtId="1" fontId="59" fillId="0" borderId="31" xfId="162" applyNumberFormat="1" applyFont="1" applyBorder="1" applyAlignment="1">
      <alignment horizontal="center" vertical="center" wrapText="1"/>
    </xf>
    <xf numFmtId="1" fontId="59" fillId="0" borderId="32" xfId="162" applyNumberFormat="1" applyFont="1" applyBorder="1" applyAlignment="1">
      <alignment horizontal="center" vertical="center" wrapText="1"/>
    </xf>
    <xf numFmtId="1" fontId="59" fillId="0" borderId="33" xfId="162" applyNumberFormat="1" applyFont="1" applyBorder="1" applyAlignment="1">
      <alignment horizontal="center" vertical="center" wrapText="1"/>
    </xf>
    <xf numFmtId="0" fontId="85" fillId="0" borderId="24" xfId="0" applyFont="1" applyBorder="1" applyAlignment="1">
      <alignment horizontal="center" vertical="center"/>
    </xf>
    <xf numFmtId="0" fontId="85" fillId="0" borderId="25" xfId="0" applyFont="1" applyBorder="1" applyAlignment="1">
      <alignment horizontal="center" vertical="center"/>
    </xf>
    <xf numFmtId="0" fontId="85" fillId="0" borderId="26" xfId="0" applyFont="1" applyBorder="1" applyAlignment="1">
      <alignment horizontal="center" vertical="center"/>
    </xf>
    <xf numFmtId="0" fontId="79" fillId="0" borderId="34" xfId="0" applyFont="1" applyBorder="1" applyAlignment="1">
      <alignment horizontal="center" vertical="center"/>
    </xf>
    <xf numFmtId="0" fontId="79" fillId="0" borderId="59" xfId="0" applyFont="1" applyBorder="1" applyAlignment="1">
      <alignment horizontal="center" vertical="center"/>
    </xf>
    <xf numFmtId="0" fontId="79" fillId="0" borderId="60" xfId="0" applyFont="1" applyBorder="1" applyAlignment="1">
      <alignment horizontal="center" vertical="center"/>
    </xf>
    <xf numFmtId="0" fontId="79" fillId="0" borderId="34" xfId="0" applyFont="1" applyBorder="1" applyAlignment="1">
      <alignment horizontal="center" vertical="center" wrapText="1"/>
    </xf>
    <xf numFmtId="0" fontId="79" fillId="0" borderId="59" xfId="0" applyFont="1" applyBorder="1" applyAlignment="1">
      <alignment horizontal="center" vertical="center" wrapText="1"/>
    </xf>
    <xf numFmtId="0" fontId="79" fillId="0" borderId="60" xfId="0" applyFont="1" applyBorder="1" applyAlignment="1">
      <alignment horizontal="center" vertical="center" wrapText="1"/>
    </xf>
  </cellXfs>
  <cellStyles count="200">
    <cellStyle name="20% - Accent1 2" xfId="2" xr:uid="{00000000-0005-0000-0000-000000000000}"/>
    <cellStyle name="20% - Accent1 2 2" xfId="3" xr:uid="{00000000-0005-0000-0000-000001000000}"/>
    <cellStyle name="20% - Accent1 3" xfId="4" xr:uid="{00000000-0005-0000-0000-000002000000}"/>
    <cellStyle name="20% - Accent1 3 2" xfId="5" xr:uid="{00000000-0005-0000-0000-000003000000}"/>
    <cellStyle name="20% - Accent1 4" xfId="6" xr:uid="{00000000-0005-0000-0000-000004000000}"/>
    <cellStyle name="20% - Accent1 4 2" xfId="7" xr:uid="{00000000-0005-0000-0000-000005000000}"/>
    <cellStyle name="20% - Accent2 2" xfId="8" xr:uid="{00000000-0005-0000-0000-000006000000}"/>
    <cellStyle name="20% - Accent2 2 2" xfId="9" xr:uid="{00000000-0005-0000-0000-000007000000}"/>
    <cellStyle name="20% - Accent2 3" xfId="10" xr:uid="{00000000-0005-0000-0000-000008000000}"/>
    <cellStyle name="20% - Accent2 3 2" xfId="11" xr:uid="{00000000-0005-0000-0000-000009000000}"/>
    <cellStyle name="20% - Accent2 4" xfId="12" xr:uid="{00000000-0005-0000-0000-00000A000000}"/>
    <cellStyle name="20% - Accent2 4 2" xfId="13" xr:uid="{00000000-0005-0000-0000-00000B000000}"/>
    <cellStyle name="20% - Accent3 2" xfId="14" xr:uid="{00000000-0005-0000-0000-00000C000000}"/>
    <cellStyle name="20% - Accent3 2 2" xfId="15" xr:uid="{00000000-0005-0000-0000-00000D000000}"/>
    <cellStyle name="20% - Accent3 3" xfId="16" xr:uid="{00000000-0005-0000-0000-00000E000000}"/>
    <cellStyle name="20% - Accent3 3 2" xfId="17" xr:uid="{00000000-0005-0000-0000-00000F000000}"/>
    <cellStyle name="20% - Accent3 4" xfId="18" xr:uid="{00000000-0005-0000-0000-000010000000}"/>
    <cellStyle name="20% - Accent3 4 2" xfId="19" xr:uid="{00000000-0005-0000-0000-000011000000}"/>
    <cellStyle name="20% - Accent4 2" xfId="20" xr:uid="{00000000-0005-0000-0000-000012000000}"/>
    <cellStyle name="20% - Accent4 2 2" xfId="21" xr:uid="{00000000-0005-0000-0000-000013000000}"/>
    <cellStyle name="20% - Accent4 3" xfId="22" xr:uid="{00000000-0005-0000-0000-000014000000}"/>
    <cellStyle name="20% - Accent4 3 2" xfId="23" xr:uid="{00000000-0005-0000-0000-000015000000}"/>
    <cellStyle name="20% - Accent4 4" xfId="24" xr:uid="{00000000-0005-0000-0000-000016000000}"/>
    <cellStyle name="20% - Accent4 4 2" xfId="25" xr:uid="{00000000-0005-0000-0000-000017000000}"/>
    <cellStyle name="20% - Accent5 2" xfId="26" xr:uid="{00000000-0005-0000-0000-000018000000}"/>
    <cellStyle name="20% - Accent5 2 2" xfId="27" xr:uid="{00000000-0005-0000-0000-000019000000}"/>
    <cellStyle name="20% - Accent5 3" xfId="28" xr:uid="{00000000-0005-0000-0000-00001A000000}"/>
    <cellStyle name="20% - Accent5 3 2" xfId="29" xr:uid="{00000000-0005-0000-0000-00001B000000}"/>
    <cellStyle name="20% - Accent5 4" xfId="30" xr:uid="{00000000-0005-0000-0000-00001C000000}"/>
    <cellStyle name="20% - Accent5 4 2" xfId="31" xr:uid="{00000000-0005-0000-0000-00001D000000}"/>
    <cellStyle name="20% - Accent6 2" xfId="32" xr:uid="{00000000-0005-0000-0000-00001E000000}"/>
    <cellStyle name="20% - Accent6 2 2" xfId="33" xr:uid="{00000000-0005-0000-0000-00001F000000}"/>
    <cellStyle name="20% - Accent6 3" xfId="34" xr:uid="{00000000-0005-0000-0000-000020000000}"/>
    <cellStyle name="20% - Accent6 3 2" xfId="35" xr:uid="{00000000-0005-0000-0000-000021000000}"/>
    <cellStyle name="20% - Accent6 4" xfId="36" xr:uid="{00000000-0005-0000-0000-000022000000}"/>
    <cellStyle name="20% - Accent6 4 2" xfId="37" xr:uid="{00000000-0005-0000-0000-000023000000}"/>
    <cellStyle name="40% - Accent1 2" xfId="38" xr:uid="{00000000-0005-0000-0000-000024000000}"/>
    <cellStyle name="40% - Accent1 2 2" xfId="39" xr:uid="{00000000-0005-0000-0000-000025000000}"/>
    <cellStyle name="40% - Accent1 3" xfId="40" xr:uid="{00000000-0005-0000-0000-000026000000}"/>
    <cellStyle name="40% - Accent1 3 2" xfId="41" xr:uid="{00000000-0005-0000-0000-000027000000}"/>
    <cellStyle name="40% - Accent1 4" xfId="42" xr:uid="{00000000-0005-0000-0000-000028000000}"/>
    <cellStyle name="40% - Accent1 4 2" xfId="43" xr:uid="{00000000-0005-0000-0000-000029000000}"/>
    <cellStyle name="40% - Accent2 2" xfId="44" xr:uid="{00000000-0005-0000-0000-00002A000000}"/>
    <cellStyle name="40% - Accent2 2 2" xfId="45" xr:uid="{00000000-0005-0000-0000-00002B000000}"/>
    <cellStyle name="40% - Accent2 3" xfId="46" xr:uid="{00000000-0005-0000-0000-00002C000000}"/>
    <cellStyle name="40% - Accent2 3 2" xfId="47" xr:uid="{00000000-0005-0000-0000-00002D000000}"/>
    <cellStyle name="40% - Accent2 4" xfId="48" xr:uid="{00000000-0005-0000-0000-00002E000000}"/>
    <cellStyle name="40% - Accent2 4 2" xfId="49" xr:uid="{00000000-0005-0000-0000-00002F000000}"/>
    <cellStyle name="40% - Accent3 2" xfId="50" xr:uid="{00000000-0005-0000-0000-000030000000}"/>
    <cellStyle name="40% - Accent3 2 2" xfId="51" xr:uid="{00000000-0005-0000-0000-000031000000}"/>
    <cellStyle name="40% - Accent3 3" xfId="52" xr:uid="{00000000-0005-0000-0000-000032000000}"/>
    <cellStyle name="40% - Accent3 3 2" xfId="53" xr:uid="{00000000-0005-0000-0000-000033000000}"/>
    <cellStyle name="40% - Accent3 4" xfId="54" xr:uid="{00000000-0005-0000-0000-000034000000}"/>
    <cellStyle name="40% - Accent3 4 2" xfId="55" xr:uid="{00000000-0005-0000-0000-000035000000}"/>
    <cellStyle name="40% - Accent4 2" xfId="56" xr:uid="{00000000-0005-0000-0000-000036000000}"/>
    <cellStyle name="40% - Accent4 2 2" xfId="57" xr:uid="{00000000-0005-0000-0000-000037000000}"/>
    <cellStyle name="40% - Accent4 3" xfId="58" xr:uid="{00000000-0005-0000-0000-000038000000}"/>
    <cellStyle name="40% - Accent4 3 2" xfId="59" xr:uid="{00000000-0005-0000-0000-000039000000}"/>
    <cellStyle name="40% - Accent4 4" xfId="60" xr:uid="{00000000-0005-0000-0000-00003A000000}"/>
    <cellStyle name="40% - Accent4 4 2" xfId="61" xr:uid="{00000000-0005-0000-0000-00003B000000}"/>
    <cellStyle name="40% - Accent5 2" xfId="62" xr:uid="{00000000-0005-0000-0000-00003C000000}"/>
    <cellStyle name="40% - Accent5 2 2" xfId="63" xr:uid="{00000000-0005-0000-0000-00003D000000}"/>
    <cellStyle name="40% - Accent5 3" xfId="64" xr:uid="{00000000-0005-0000-0000-00003E000000}"/>
    <cellStyle name="40% - Accent5 3 2" xfId="65" xr:uid="{00000000-0005-0000-0000-00003F000000}"/>
    <cellStyle name="40% - Accent5 4" xfId="66" xr:uid="{00000000-0005-0000-0000-000040000000}"/>
    <cellStyle name="40% - Accent5 4 2" xfId="67" xr:uid="{00000000-0005-0000-0000-000041000000}"/>
    <cellStyle name="40% - Accent6 2" xfId="68" xr:uid="{00000000-0005-0000-0000-000042000000}"/>
    <cellStyle name="40% - Accent6 2 2" xfId="69" xr:uid="{00000000-0005-0000-0000-000043000000}"/>
    <cellStyle name="40% - Accent6 3" xfId="70" xr:uid="{00000000-0005-0000-0000-000044000000}"/>
    <cellStyle name="40% - Accent6 3 2" xfId="71" xr:uid="{00000000-0005-0000-0000-000045000000}"/>
    <cellStyle name="40% - Accent6 4" xfId="72" xr:uid="{00000000-0005-0000-0000-000046000000}"/>
    <cellStyle name="40% - Accent6 4 2" xfId="73" xr:uid="{00000000-0005-0000-0000-000047000000}"/>
    <cellStyle name="60% - Accent1 2" xfId="74" xr:uid="{00000000-0005-0000-0000-000048000000}"/>
    <cellStyle name="60% - Accent1 3" xfId="75" xr:uid="{00000000-0005-0000-0000-000049000000}"/>
    <cellStyle name="60% - Accent1 4" xfId="76" xr:uid="{00000000-0005-0000-0000-00004A000000}"/>
    <cellStyle name="60% - Accent2 2" xfId="77" xr:uid="{00000000-0005-0000-0000-00004B000000}"/>
    <cellStyle name="60% - Accent2 3" xfId="78" xr:uid="{00000000-0005-0000-0000-00004C000000}"/>
    <cellStyle name="60% - Accent2 4" xfId="79" xr:uid="{00000000-0005-0000-0000-00004D000000}"/>
    <cellStyle name="60% - Accent3 2" xfId="80" xr:uid="{00000000-0005-0000-0000-00004E000000}"/>
    <cellStyle name="60% - Accent3 3" xfId="81" xr:uid="{00000000-0005-0000-0000-00004F000000}"/>
    <cellStyle name="60% - Accent3 4" xfId="82" xr:uid="{00000000-0005-0000-0000-000050000000}"/>
    <cellStyle name="60% - Accent4 2" xfId="83" xr:uid="{00000000-0005-0000-0000-000051000000}"/>
    <cellStyle name="60% - Accent4 3" xfId="84" xr:uid="{00000000-0005-0000-0000-000052000000}"/>
    <cellStyle name="60% - Accent4 4" xfId="85" xr:uid="{00000000-0005-0000-0000-000053000000}"/>
    <cellStyle name="60% - Accent5 2" xfId="86" xr:uid="{00000000-0005-0000-0000-000054000000}"/>
    <cellStyle name="60% - Accent5 3" xfId="87" xr:uid="{00000000-0005-0000-0000-000055000000}"/>
    <cellStyle name="60% - Accent5 4" xfId="88" xr:uid="{00000000-0005-0000-0000-000056000000}"/>
    <cellStyle name="60% - Accent6 2" xfId="89" xr:uid="{00000000-0005-0000-0000-000057000000}"/>
    <cellStyle name="60% - Accent6 3" xfId="90" xr:uid="{00000000-0005-0000-0000-000058000000}"/>
    <cellStyle name="60% - Accent6 4" xfId="91" xr:uid="{00000000-0005-0000-0000-000059000000}"/>
    <cellStyle name="Accent1 2" xfId="92" xr:uid="{00000000-0005-0000-0000-00005A000000}"/>
    <cellStyle name="Accent1 3" xfId="93" xr:uid="{00000000-0005-0000-0000-00005B000000}"/>
    <cellStyle name="Accent1 4" xfId="94" xr:uid="{00000000-0005-0000-0000-00005C000000}"/>
    <cellStyle name="Accent2 2" xfId="95" xr:uid="{00000000-0005-0000-0000-00005D000000}"/>
    <cellStyle name="Accent2 3" xfId="96" xr:uid="{00000000-0005-0000-0000-00005E000000}"/>
    <cellStyle name="Accent2 4" xfId="97" xr:uid="{00000000-0005-0000-0000-00005F000000}"/>
    <cellStyle name="Accent3 2" xfId="98" xr:uid="{00000000-0005-0000-0000-000060000000}"/>
    <cellStyle name="Accent3 3" xfId="99" xr:uid="{00000000-0005-0000-0000-000061000000}"/>
    <cellStyle name="Accent3 4" xfId="100" xr:uid="{00000000-0005-0000-0000-000062000000}"/>
    <cellStyle name="Accent4 2" xfId="101" xr:uid="{00000000-0005-0000-0000-000063000000}"/>
    <cellStyle name="Accent4 3" xfId="102" xr:uid="{00000000-0005-0000-0000-000064000000}"/>
    <cellStyle name="Accent4 4" xfId="103" xr:uid="{00000000-0005-0000-0000-000065000000}"/>
    <cellStyle name="Accent5 2" xfId="104" xr:uid="{00000000-0005-0000-0000-000066000000}"/>
    <cellStyle name="Accent5 3" xfId="105" xr:uid="{00000000-0005-0000-0000-000067000000}"/>
    <cellStyle name="Accent5 4" xfId="106" xr:uid="{00000000-0005-0000-0000-000068000000}"/>
    <cellStyle name="Accent6 2" xfId="107" xr:uid="{00000000-0005-0000-0000-000069000000}"/>
    <cellStyle name="Accent6 3" xfId="108" xr:uid="{00000000-0005-0000-0000-00006A000000}"/>
    <cellStyle name="Accent6 4" xfId="109" xr:uid="{00000000-0005-0000-0000-00006B000000}"/>
    <cellStyle name="Bad 2" xfId="110" xr:uid="{00000000-0005-0000-0000-00006C000000}"/>
    <cellStyle name="Bad 2 2" xfId="111" xr:uid="{00000000-0005-0000-0000-00006D000000}"/>
    <cellStyle name="Bad 3" xfId="112" xr:uid="{00000000-0005-0000-0000-00006E000000}"/>
    <cellStyle name="Bad 4" xfId="113" xr:uid="{00000000-0005-0000-0000-00006F000000}"/>
    <cellStyle name="Calculation 2" xfId="114" xr:uid="{00000000-0005-0000-0000-000070000000}"/>
    <cellStyle name="Calculation 3" xfId="115" xr:uid="{00000000-0005-0000-0000-000071000000}"/>
    <cellStyle name="Calculation 4" xfId="116" xr:uid="{00000000-0005-0000-0000-000072000000}"/>
    <cellStyle name="Calculation 5" xfId="117" xr:uid="{00000000-0005-0000-0000-000073000000}"/>
    <cellStyle name="Check Cell 2" xfId="118" xr:uid="{00000000-0005-0000-0000-000074000000}"/>
    <cellStyle name="Check Cell 2 2" xfId="119" xr:uid="{00000000-0005-0000-0000-000075000000}"/>
    <cellStyle name="Check Cell 3" xfId="120" xr:uid="{00000000-0005-0000-0000-000076000000}"/>
    <cellStyle name="Check Cell 4" xfId="121" xr:uid="{00000000-0005-0000-0000-000077000000}"/>
    <cellStyle name="Currency 2" xfId="122" xr:uid="{00000000-0005-0000-0000-000078000000}"/>
    <cellStyle name="Excel Built-in Input" xfId="123" xr:uid="{00000000-0005-0000-0000-000079000000}"/>
    <cellStyle name="Excel Built-in Input 1" xfId="124" xr:uid="{00000000-0005-0000-0000-00007A000000}"/>
    <cellStyle name="Excel Built-in Normal" xfId="125" xr:uid="{00000000-0005-0000-0000-00007B000000}"/>
    <cellStyle name="Excel Built-in Normal 1" xfId="126" xr:uid="{00000000-0005-0000-0000-00007C000000}"/>
    <cellStyle name="Excel Built-in Normal 1 2" xfId="127" xr:uid="{00000000-0005-0000-0000-00007D000000}"/>
    <cellStyle name="Excel Built-in Normal 2" xfId="128" xr:uid="{00000000-0005-0000-0000-00007E000000}"/>
    <cellStyle name="Excel Built-in Normal 3" xfId="129" xr:uid="{00000000-0005-0000-0000-00007F000000}"/>
    <cellStyle name="Explanatory Text 2" xfId="130" xr:uid="{00000000-0005-0000-0000-000080000000}"/>
    <cellStyle name="Explanatory Text 3" xfId="131" xr:uid="{00000000-0005-0000-0000-000081000000}"/>
    <cellStyle name="Explanatory Text 4" xfId="132" xr:uid="{00000000-0005-0000-0000-000082000000}"/>
    <cellStyle name="Good 2" xfId="133" xr:uid="{00000000-0005-0000-0000-000083000000}"/>
    <cellStyle name="Good 2 2" xfId="134" xr:uid="{00000000-0005-0000-0000-000084000000}"/>
    <cellStyle name="Good 3" xfId="135" xr:uid="{00000000-0005-0000-0000-000085000000}"/>
    <cellStyle name="Good 4" xfId="136" xr:uid="{00000000-0005-0000-0000-000086000000}"/>
    <cellStyle name="Heading 1 2" xfId="137" xr:uid="{00000000-0005-0000-0000-000087000000}"/>
    <cellStyle name="Heading 1 3" xfId="138" xr:uid="{00000000-0005-0000-0000-000088000000}"/>
    <cellStyle name="Heading 1 4" xfId="139" xr:uid="{00000000-0005-0000-0000-000089000000}"/>
    <cellStyle name="Heading 2 2" xfId="140" xr:uid="{00000000-0005-0000-0000-00008A000000}"/>
    <cellStyle name="Heading 2 3" xfId="141" xr:uid="{00000000-0005-0000-0000-00008B000000}"/>
    <cellStyle name="Heading 2 4" xfId="142" xr:uid="{00000000-0005-0000-0000-00008C000000}"/>
    <cellStyle name="Heading 3 2" xfId="143" xr:uid="{00000000-0005-0000-0000-00008D000000}"/>
    <cellStyle name="Heading 3 3" xfId="144" xr:uid="{00000000-0005-0000-0000-00008E000000}"/>
    <cellStyle name="Heading 3 4" xfId="145" xr:uid="{00000000-0005-0000-0000-00008F000000}"/>
    <cellStyle name="Heading 4 2" xfId="146" xr:uid="{00000000-0005-0000-0000-000090000000}"/>
    <cellStyle name="Heading 4 3" xfId="147" xr:uid="{00000000-0005-0000-0000-000091000000}"/>
    <cellStyle name="Heading 4 4" xfId="148" xr:uid="{00000000-0005-0000-0000-000092000000}"/>
    <cellStyle name="Hyperlink" xfId="197" builtinId="8"/>
    <cellStyle name="Hyperlink 2" xfId="149" xr:uid="{00000000-0005-0000-0000-000093000000}"/>
    <cellStyle name="Hyperlink 2 2" xfId="150" xr:uid="{00000000-0005-0000-0000-000094000000}"/>
    <cellStyle name="Input" xfId="1" builtinId="20"/>
    <cellStyle name="Input 2" xfId="151" xr:uid="{00000000-0005-0000-0000-000096000000}"/>
    <cellStyle name="Input 2 2" xfId="152" xr:uid="{00000000-0005-0000-0000-000097000000}"/>
    <cellStyle name="Input 3" xfId="153" xr:uid="{00000000-0005-0000-0000-000098000000}"/>
    <cellStyle name="Input 4" xfId="154" xr:uid="{00000000-0005-0000-0000-000099000000}"/>
    <cellStyle name="Linked Cell 2" xfId="155" xr:uid="{00000000-0005-0000-0000-00009A000000}"/>
    <cellStyle name="Linked Cell 3" xfId="156" xr:uid="{00000000-0005-0000-0000-00009B000000}"/>
    <cellStyle name="Linked Cell 4" xfId="157" xr:uid="{00000000-0005-0000-0000-00009C000000}"/>
    <cellStyle name="Neutral 2" xfId="158" xr:uid="{00000000-0005-0000-0000-00009D000000}"/>
    <cellStyle name="Neutral 2 2" xfId="159" xr:uid="{00000000-0005-0000-0000-00009E000000}"/>
    <cellStyle name="Neutral 3" xfId="160" xr:uid="{00000000-0005-0000-0000-00009F000000}"/>
    <cellStyle name="Neutral 4" xfId="161" xr:uid="{00000000-0005-0000-0000-0000A0000000}"/>
    <cellStyle name="Normal" xfId="0" builtinId="0"/>
    <cellStyle name="Normal 2" xfId="162" xr:uid="{00000000-0005-0000-0000-0000A2000000}"/>
    <cellStyle name="Normal 2 2" xfId="163" xr:uid="{00000000-0005-0000-0000-0000A3000000}"/>
    <cellStyle name="Normal 2 3" xfId="164" xr:uid="{00000000-0005-0000-0000-0000A4000000}"/>
    <cellStyle name="Normal 2 4" xfId="165" xr:uid="{00000000-0005-0000-0000-0000A5000000}"/>
    <cellStyle name="Normal 3" xfId="166" xr:uid="{00000000-0005-0000-0000-0000A6000000}"/>
    <cellStyle name="Normal 4" xfId="167" xr:uid="{00000000-0005-0000-0000-0000A7000000}"/>
    <cellStyle name="Normal 5" xfId="168" xr:uid="{00000000-0005-0000-0000-0000A8000000}"/>
    <cellStyle name="Normal 5 2" xfId="169" xr:uid="{00000000-0005-0000-0000-0000A9000000}"/>
    <cellStyle name="Normal 5 3" xfId="170" xr:uid="{00000000-0005-0000-0000-0000AA000000}"/>
    <cellStyle name="Normal 5 4" xfId="171" xr:uid="{00000000-0005-0000-0000-0000AB000000}"/>
    <cellStyle name="Normal 6" xfId="172" xr:uid="{00000000-0005-0000-0000-0000AC000000}"/>
    <cellStyle name="Normal 6 2" xfId="173" xr:uid="{00000000-0005-0000-0000-0000AD000000}"/>
    <cellStyle name="Normal 7" xfId="174" xr:uid="{00000000-0005-0000-0000-0000AE000000}"/>
    <cellStyle name="Normal 7 2" xfId="175" xr:uid="{00000000-0005-0000-0000-0000AF000000}"/>
    <cellStyle name="Normal 8" xfId="176" xr:uid="{00000000-0005-0000-0000-0000B0000000}"/>
    <cellStyle name="Normal 9" xfId="199" xr:uid="{03332382-4796-43AF-B7CB-38830D2CE617}"/>
    <cellStyle name="Normal_Sheet2" xfId="198" xr:uid="{B8B586E1-13A9-4DB8-935A-044BDDE077CF}"/>
    <cellStyle name="Note 2" xfId="177" xr:uid="{00000000-0005-0000-0000-0000B1000000}"/>
    <cellStyle name="Note 2 2" xfId="178" xr:uid="{00000000-0005-0000-0000-0000B2000000}"/>
    <cellStyle name="Note 2 3" xfId="179" xr:uid="{00000000-0005-0000-0000-0000B3000000}"/>
    <cellStyle name="Note 3" xfId="180" xr:uid="{00000000-0005-0000-0000-0000B4000000}"/>
    <cellStyle name="Note 3 2" xfId="181" xr:uid="{00000000-0005-0000-0000-0000B5000000}"/>
    <cellStyle name="Note 4" xfId="182" xr:uid="{00000000-0005-0000-0000-0000B6000000}"/>
    <cellStyle name="Note 4 2" xfId="183" xr:uid="{00000000-0005-0000-0000-0000B7000000}"/>
    <cellStyle name="Output 2" xfId="184" xr:uid="{00000000-0005-0000-0000-0000B8000000}"/>
    <cellStyle name="Output 3" xfId="185" xr:uid="{00000000-0005-0000-0000-0000B9000000}"/>
    <cellStyle name="Output 4" xfId="186" xr:uid="{00000000-0005-0000-0000-0000BA000000}"/>
    <cellStyle name="Style 1" xfId="187" xr:uid="{00000000-0005-0000-0000-0000BB000000}"/>
    <cellStyle name="Title 2" xfId="188" xr:uid="{00000000-0005-0000-0000-0000BC000000}"/>
    <cellStyle name="Title 3" xfId="189" xr:uid="{00000000-0005-0000-0000-0000BD000000}"/>
    <cellStyle name="Title 4" xfId="190" xr:uid="{00000000-0005-0000-0000-0000BE000000}"/>
    <cellStyle name="Total 2" xfId="191" xr:uid="{00000000-0005-0000-0000-0000BF000000}"/>
    <cellStyle name="Total 3" xfId="192" xr:uid="{00000000-0005-0000-0000-0000C0000000}"/>
    <cellStyle name="Total 4" xfId="193" xr:uid="{00000000-0005-0000-0000-0000C1000000}"/>
    <cellStyle name="Warning Text 2" xfId="194" xr:uid="{00000000-0005-0000-0000-0000C2000000}"/>
    <cellStyle name="Warning Text 3" xfId="195" xr:uid="{00000000-0005-0000-0000-0000C3000000}"/>
    <cellStyle name="Warning Text 4" xfId="196" xr:uid="{00000000-0005-0000-0000-0000C4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0.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3</xdr:col>
      <xdr:colOff>981075</xdr:colOff>
      <xdr:row>0</xdr:row>
      <xdr:rowOff>47625</xdr:rowOff>
    </xdr:from>
    <xdr:to>
      <xdr:col>4</xdr:col>
      <xdr:colOff>237886</xdr:colOff>
      <xdr:row>0</xdr:row>
      <xdr:rowOff>962025</xdr:rowOff>
    </xdr:to>
    <xdr:pic>
      <xdr:nvPicPr>
        <xdr:cNvPr id="3" name="Picture 2">
          <a:extLst>
            <a:ext uri="{FF2B5EF4-FFF2-40B4-BE49-F238E27FC236}">
              <a16:creationId xmlns:a16="http://schemas.microsoft.com/office/drawing/2014/main" id="{705348DB-8CBF-4104-BD90-3FEA9DC354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43275" y="47625"/>
          <a:ext cx="3381136"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1238250</xdr:colOff>
      <xdr:row>0</xdr:row>
      <xdr:rowOff>11906</xdr:rowOff>
    </xdr:from>
    <xdr:to>
      <xdr:col>2</xdr:col>
      <xdr:colOff>4619386</xdr:colOff>
      <xdr:row>0</xdr:row>
      <xdr:rowOff>926306</xdr:rowOff>
    </xdr:to>
    <xdr:pic>
      <xdr:nvPicPr>
        <xdr:cNvPr id="3" name="Picture 2">
          <a:extLst>
            <a:ext uri="{FF2B5EF4-FFF2-40B4-BE49-F238E27FC236}">
              <a16:creationId xmlns:a16="http://schemas.microsoft.com/office/drawing/2014/main" id="{A7DA9C80-956E-4105-8702-05D07C7DF2F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26656" y="11906"/>
          <a:ext cx="3381136"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5357811</xdr:colOff>
      <xdr:row>0</xdr:row>
      <xdr:rowOff>47625</xdr:rowOff>
    </xdr:from>
    <xdr:to>
      <xdr:col>6</xdr:col>
      <xdr:colOff>726040</xdr:colOff>
      <xdr:row>0</xdr:row>
      <xdr:rowOff>962025</xdr:rowOff>
    </xdr:to>
    <xdr:pic>
      <xdr:nvPicPr>
        <xdr:cNvPr id="2" name="Picture 1">
          <a:extLst>
            <a:ext uri="{FF2B5EF4-FFF2-40B4-BE49-F238E27FC236}">
              <a16:creationId xmlns:a16="http://schemas.microsoft.com/office/drawing/2014/main" id="{C5575913-7744-48EB-A429-7C105112FA6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10374" y="47625"/>
          <a:ext cx="3381136"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3076575</xdr:colOff>
      <xdr:row>0</xdr:row>
      <xdr:rowOff>95250</xdr:rowOff>
    </xdr:from>
    <xdr:to>
      <xdr:col>4</xdr:col>
      <xdr:colOff>923686</xdr:colOff>
      <xdr:row>0</xdr:row>
      <xdr:rowOff>1009650</xdr:rowOff>
    </xdr:to>
    <xdr:pic>
      <xdr:nvPicPr>
        <xdr:cNvPr id="3" name="Picture 2">
          <a:extLst>
            <a:ext uri="{FF2B5EF4-FFF2-40B4-BE49-F238E27FC236}">
              <a16:creationId xmlns:a16="http://schemas.microsoft.com/office/drawing/2014/main" id="{01BDDFC3-0897-4DDB-BA24-934D6FDC014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72050" y="95250"/>
          <a:ext cx="3381136" cy="914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3076575</xdr:colOff>
      <xdr:row>0</xdr:row>
      <xdr:rowOff>95250</xdr:rowOff>
    </xdr:from>
    <xdr:to>
      <xdr:col>4</xdr:col>
      <xdr:colOff>923686</xdr:colOff>
      <xdr:row>0</xdr:row>
      <xdr:rowOff>1009650</xdr:rowOff>
    </xdr:to>
    <xdr:pic>
      <xdr:nvPicPr>
        <xdr:cNvPr id="2" name="Picture 1">
          <a:extLst>
            <a:ext uri="{FF2B5EF4-FFF2-40B4-BE49-F238E27FC236}">
              <a16:creationId xmlns:a16="http://schemas.microsoft.com/office/drawing/2014/main" id="{73AE8192-38D9-4D18-92F5-CFB171DE5A5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72050" y="95250"/>
          <a:ext cx="3381136" cy="9144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407987</xdr:colOff>
      <xdr:row>0</xdr:row>
      <xdr:rowOff>112712</xdr:rowOff>
    </xdr:from>
    <xdr:to>
      <xdr:col>6</xdr:col>
      <xdr:colOff>287098</xdr:colOff>
      <xdr:row>0</xdr:row>
      <xdr:rowOff>1027112</xdr:rowOff>
    </xdr:to>
    <xdr:pic>
      <xdr:nvPicPr>
        <xdr:cNvPr id="159" name="Picture 158">
          <a:extLst>
            <a:ext uri="{FF2B5EF4-FFF2-40B4-BE49-F238E27FC236}">
              <a16:creationId xmlns:a16="http://schemas.microsoft.com/office/drawing/2014/main" id="{4FB54831-6E49-4EF0-A2F6-1E224EB4F51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51462" y="112712"/>
          <a:ext cx="3365261" cy="914400"/>
        </a:xfrm>
        <a:prstGeom prst="rect">
          <a:avLst/>
        </a:prstGeom>
      </xdr:spPr>
    </xdr:pic>
    <xdr:clientData/>
  </xdr:twoCellAnchor>
  <xdr:twoCellAnchor>
    <xdr:from>
      <xdr:col>6</xdr:col>
      <xdr:colOff>376237</xdr:colOff>
      <xdr:row>8</xdr:row>
      <xdr:rowOff>12700</xdr:rowOff>
    </xdr:from>
    <xdr:to>
      <xdr:col>7</xdr:col>
      <xdr:colOff>4521151</xdr:colOff>
      <xdr:row>57</xdr:row>
      <xdr:rowOff>138113</xdr:rowOff>
    </xdr:to>
    <xdr:grpSp>
      <xdr:nvGrpSpPr>
        <xdr:cNvPr id="2" name="Group 1">
          <a:extLst>
            <a:ext uri="{FF2B5EF4-FFF2-40B4-BE49-F238E27FC236}">
              <a16:creationId xmlns:a16="http://schemas.microsoft.com/office/drawing/2014/main" id="{FAFC3765-B565-493B-BA23-75560C71A461}"/>
            </a:ext>
          </a:extLst>
        </xdr:cNvPr>
        <xdr:cNvGrpSpPr/>
      </xdr:nvGrpSpPr>
      <xdr:grpSpPr>
        <a:xfrm>
          <a:off x="8567737" y="3003550"/>
          <a:ext cx="5697489" cy="9431338"/>
          <a:chOff x="1519443" y="3414713"/>
          <a:chExt cx="5719508" cy="9429750"/>
        </a:xfrm>
      </xdr:grpSpPr>
      <xdr:sp macro="" textlink="">
        <xdr:nvSpPr>
          <xdr:cNvPr id="4" name="DigitalPrintApproval">
            <a:extLst>
              <a:ext uri="{FF2B5EF4-FFF2-40B4-BE49-F238E27FC236}">
                <a16:creationId xmlns:a16="http://schemas.microsoft.com/office/drawing/2014/main" id="{06758A63-0B62-40E4-89CC-548B9C5B1212}"/>
              </a:ext>
            </a:extLst>
          </xdr:cNvPr>
          <xdr:cNvSpPr/>
        </xdr:nvSpPr>
        <xdr:spPr>
          <a:xfrm>
            <a:off x="1861126" y="8451440"/>
            <a:ext cx="1711521" cy="1200077"/>
          </a:xfrm>
          <a:prstGeom prst="diamond">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Bokitta Approval? </a:t>
            </a:r>
          </a:p>
        </xdr:txBody>
      </xdr:sp>
      <xdr:sp macro="" textlink="">
        <xdr:nvSpPr>
          <xdr:cNvPr id="5" name="DigitalPrinting">
            <a:extLst>
              <a:ext uri="{FF2B5EF4-FFF2-40B4-BE49-F238E27FC236}">
                <a16:creationId xmlns:a16="http://schemas.microsoft.com/office/drawing/2014/main" id="{D836C8B5-53DA-4900-9CDF-BBD3ECC14FDB}"/>
              </a:ext>
            </a:extLst>
          </xdr:cNvPr>
          <xdr:cNvSpPr/>
        </xdr:nvSpPr>
        <xdr:spPr>
          <a:xfrm>
            <a:off x="1832117" y="4762501"/>
            <a:ext cx="1479450" cy="764704"/>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Submission of Digital Printing Artwork</a:t>
            </a:r>
          </a:p>
        </xdr:txBody>
      </xdr:sp>
      <xdr:sp macro="" textlink="">
        <xdr:nvSpPr>
          <xdr:cNvPr id="66" name="TablePrinting">
            <a:extLst>
              <a:ext uri="{FF2B5EF4-FFF2-40B4-BE49-F238E27FC236}">
                <a16:creationId xmlns:a16="http://schemas.microsoft.com/office/drawing/2014/main" id="{DE8BFA73-D39E-4787-9F19-BFED0E9C9BCF}"/>
              </a:ext>
            </a:extLst>
          </xdr:cNvPr>
          <xdr:cNvSpPr/>
        </xdr:nvSpPr>
        <xdr:spPr>
          <a:xfrm>
            <a:off x="5230913" y="4848225"/>
            <a:ext cx="1479450" cy="739742"/>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Submission of Table Printing / Lab Dip Plain Artwork</a:t>
            </a:r>
          </a:p>
        </xdr:txBody>
      </xdr:sp>
      <xdr:sp macro="" textlink="">
        <xdr:nvSpPr>
          <xdr:cNvPr id="8" name="StrikeOff SOP">
            <a:extLst>
              <a:ext uri="{FF2B5EF4-FFF2-40B4-BE49-F238E27FC236}">
                <a16:creationId xmlns:a16="http://schemas.microsoft.com/office/drawing/2014/main" id="{A161B9B9-24D5-4B86-A311-92C408121D06}"/>
              </a:ext>
            </a:extLst>
          </xdr:cNvPr>
          <xdr:cNvSpPr/>
        </xdr:nvSpPr>
        <xdr:spPr>
          <a:xfrm>
            <a:off x="3043236" y="3414713"/>
            <a:ext cx="2013624" cy="692148"/>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t>Strike Off / Lab Dips SOP. </a:t>
            </a:r>
          </a:p>
        </xdr:txBody>
      </xdr:sp>
      <xdr:cxnSp macro="">
        <xdr:nvCxnSpPr>
          <xdr:cNvPr id="11" name="Connector: Elbow 10">
            <a:extLst>
              <a:ext uri="{FF2B5EF4-FFF2-40B4-BE49-F238E27FC236}">
                <a16:creationId xmlns:a16="http://schemas.microsoft.com/office/drawing/2014/main" id="{834984F3-C4E8-4ACB-B320-35E9E8CCBB45}"/>
              </a:ext>
            </a:extLst>
          </xdr:cNvPr>
          <xdr:cNvCxnSpPr>
            <a:stCxn id="8" idx="1"/>
            <a:endCxn id="66" idx="0"/>
          </xdr:cNvCxnSpPr>
        </xdr:nvCxnSpPr>
        <xdr:spPr>
          <a:xfrm rot="16200000" flipH="1">
            <a:off x="4638471" y="3516057"/>
            <a:ext cx="741364" cy="1922971"/>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Connector: Elbow 12">
            <a:extLst>
              <a:ext uri="{FF2B5EF4-FFF2-40B4-BE49-F238E27FC236}">
                <a16:creationId xmlns:a16="http://schemas.microsoft.com/office/drawing/2014/main" id="{795FB593-328C-4782-BC1C-6A53D8271E10}"/>
              </a:ext>
            </a:extLst>
          </xdr:cNvPr>
          <xdr:cNvCxnSpPr>
            <a:stCxn id="8" idx="1"/>
            <a:endCxn id="5" idx="0"/>
          </xdr:cNvCxnSpPr>
        </xdr:nvCxnSpPr>
        <xdr:spPr>
          <a:xfrm rot="5400000">
            <a:off x="2981935" y="3696769"/>
            <a:ext cx="655640" cy="1475825"/>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Arrow: Chevron 13">
            <a:extLst>
              <a:ext uri="{FF2B5EF4-FFF2-40B4-BE49-F238E27FC236}">
                <a16:creationId xmlns:a16="http://schemas.microsoft.com/office/drawing/2014/main" id="{45CA19B7-864D-4BE7-B07F-4FD31B906E37}"/>
              </a:ext>
            </a:extLst>
          </xdr:cNvPr>
          <xdr:cNvSpPr/>
        </xdr:nvSpPr>
        <xdr:spPr>
          <a:xfrm>
            <a:off x="1875629" y="7251365"/>
            <a:ext cx="1803545" cy="683588"/>
          </a:xfrm>
          <a:prstGeom prst="chevron">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nchorCtr="1"/>
          <a:lstStyle/>
          <a:p>
            <a:pPr algn="l"/>
            <a:r>
              <a:rPr lang="en-US" sz="1100">
                <a:solidFill>
                  <a:schemeClr val="tx1"/>
                </a:solidFill>
              </a:rPr>
              <a:t>Send S/O to Bokitta HQ. </a:t>
            </a:r>
          </a:p>
        </xdr:txBody>
      </xdr:sp>
      <xdr:sp macro="" textlink="">
        <xdr:nvSpPr>
          <xdr:cNvPr id="74" name="Arrow: Chevron 73">
            <a:extLst>
              <a:ext uri="{FF2B5EF4-FFF2-40B4-BE49-F238E27FC236}">
                <a16:creationId xmlns:a16="http://schemas.microsoft.com/office/drawing/2014/main" id="{ADD8BCC3-771D-4FE4-9F22-EB31A541F14F}"/>
              </a:ext>
            </a:extLst>
          </xdr:cNvPr>
          <xdr:cNvSpPr/>
        </xdr:nvSpPr>
        <xdr:spPr>
          <a:xfrm>
            <a:off x="5354199" y="7097036"/>
            <a:ext cx="1884752" cy="653206"/>
          </a:xfrm>
          <a:prstGeom prst="chevron">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nchorCtr="1"/>
          <a:lstStyle/>
          <a:p>
            <a:pPr algn="l"/>
            <a:r>
              <a:rPr lang="en-US" sz="1100">
                <a:solidFill>
                  <a:schemeClr val="tx1"/>
                </a:solidFill>
              </a:rPr>
              <a:t>Send S/O to Bokitta India.</a:t>
            </a:r>
          </a:p>
        </xdr:txBody>
      </xdr:sp>
      <xdr:sp macro="" textlink="">
        <xdr:nvSpPr>
          <xdr:cNvPr id="15" name="Flowchart: Decision 14">
            <a:extLst>
              <a:ext uri="{FF2B5EF4-FFF2-40B4-BE49-F238E27FC236}">
                <a16:creationId xmlns:a16="http://schemas.microsoft.com/office/drawing/2014/main" id="{E5E114CE-7855-433A-AF37-CFE6E1D8DC25}"/>
              </a:ext>
            </a:extLst>
          </xdr:cNvPr>
          <xdr:cNvSpPr/>
        </xdr:nvSpPr>
        <xdr:spPr>
          <a:xfrm>
            <a:off x="5368704" y="8352698"/>
            <a:ext cx="1859883" cy="972214"/>
          </a:xfrm>
          <a:prstGeom prst="flowChartDecision">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wrap="square" numCol="1" spcCol="91440" rtlCol="0" anchor="ctr" anchorCtr="1">
            <a:noAutofit/>
          </a:bodyPr>
          <a:lstStyle/>
          <a:p>
            <a:pPr algn="l"/>
            <a:r>
              <a:rPr lang="en-US" sz="1000"/>
              <a:t>Approved</a:t>
            </a:r>
            <a:r>
              <a:rPr lang="en-US" sz="1100"/>
              <a:t> ? </a:t>
            </a:r>
          </a:p>
        </xdr:txBody>
      </xdr:sp>
      <xdr:cxnSp macro="">
        <xdr:nvCxnSpPr>
          <xdr:cNvPr id="17" name="Connector: Elbow 16">
            <a:extLst>
              <a:ext uri="{FF2B5EF4-FFF2-40B4-BE49-F238E27FC236}">
                <a16:creationId xmlns:a16="http://schemas.microsoft.com/office/drawing/2014/main" id="{79E348FB-C352-487B-8F16-5505D2AAA2F9}"/>
              </a:ext>
            </a:extLst>
          </xdr:cNvPr>
          <xdr:cNvCxnSpPr>
            <a:stCxn id="15" idx="3"/>
            <a:endCxn id="58" idx="3"/>
          </xdr:cNvCxnSpPr>
        </xdr:nvCxnSpPr>
        <xdr:spPr>
          <a:xfrm flipH="1" flipV="1">
            <a:off x="6710363" y="6219782"/>
            <a:ext cx="518224" cy="2619023"/>
          </a:xfrm>
          <a:prstGeom prst="bentConnector3">
            <a:avLst>
              <a:gd name="adj1" fmla="val -48000"/>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86" name="Arrow: Chevron 85">
            <a:extLst>
              <a:ext uri="{FF2B5EF4-FFF2-40B4-BE49-F238E27FC236}">
                <a16:creationId xmlns:a16="http://schemas.microsoft.com/office/drawing/2014/main" id="{22B34C4D-27B9-4CA1-AADD-9B0A37B38E65}"/>
              </a:ext>
            </a:extLst>
          </xdr:cNvPr>
          <xdr:cNvSpPr/>
        </xdr:nvSpPr>
        <xdr:spPr>
          <a:xfrm flipH="1">
            <a:off x="3461520" y="8140029"/>
            <a:ext cx="1609843" cy="638015"/>
          </a:xfrm>
          <a:prstGeom prst="chevron">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nchorCtr="1"/>
          <a:lstStyle/>
          <a:p>
            <a:pPr algn="l"/>
            <a:r>
              <a:rPr lang="en-US" sz="1100">
                <a:solidFill>
                  <a:schemeClr val="tx1"/>
                </a:solidFill>
              </a:rPr>
              <a:t>Send S/O to Bokitta HQ.</a:t>
            </a:r>
          </a:p>
        </xdr:txBody>
      </xdr:sp>
      <xdr:cxnSp macro="">
        <xdr:nvCxnSpPr>
          <xdr:cNvPr id="16447" name="Straight Arrow Connector 16446">
            <a:extLst>
              <a:ext uri="{FF2B5EF4-FFF2-40B4-BE49-F238E27FC236}">
                <a16:creationId xmlns:a16="http://schemas.microsoft.com/office/drawing/2014/main" id="{2B6038E4-81FC-4085-BBBD-42BE82B76F7A}"/>
              </a:ext>
            </a:extLst>
          </xdr:cNvPr>
          <xdr:cNvCxnSpPr>
            <a:stCxn id="5" idx="2"/>
            <a:endCxn id="56" idx="0"/>
          </xdr:cNvCxnSpPr>
        </xdr:nvCxnSpPr>
        <xdr:spPr>
          <a:xfrm>
            <a:off x="2571842" y="5527205"/>
            <a:ext cx="0" cy="34179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5" name="Straight Arrow Connector 64">
            <a:extLst>
              <a:ext uri="{FF2B5EF4-FFF2-40B4-BE49-F238E27FC236}">
                <a16:creationId xmlns:a16="http://schemas.microsoft.com/office/drawing/2014/main" id="{09544982-379B-4D04-BFE8-9E5E1FE743A9}"/>
              </a:ext>
            </a:extLst>
          </xdr:cNvPr>
          <xdr:cNvCxnSpPr>
            <a:stCxn id="66" idx="2"/>
            <a:endCxn id="58" idx="0"/>
          </xdr:cNvCxnSpPr>
        </xdr:nvCxnSpPr>
        <xdr:spPr>
          <a:xfrm>
            <a:off x="5970638" y="5587967"/>
            <a:ext cx="0" cy="21267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0" name="Connector: Elbow 69">
            <a:extLst>
              <a:ext uri="{FF2B5EF4-FFF2-40B4-BE49-F238E27FC236}">
                <a16:creationId xmlns:a16="http://schemas.microsoft.com/office/drawing/2014/main" id="{57B01E02-4FCF-4B24-9F33-98CF451B72C3}"/>
              </a:ext>
            </a:extLst>
          </xdr:cNvPr>
          <xdr:cNvCxnSpPr>
            <a:stCxn id="15" idx="2"/>
            <a:endCxn id="7" idx="0"/>
          </xdr:cNvCxnSpPr>
        </xdr:nvCxnSpPr>
        <xdr:spPr>
          <a:xfrm rot="5400000">
            <a:off x="5075724" y="9759402"/>
            <a:ext cx="1657413" cy="788433"/>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0" name="Connector: Elbow 79">
            <a:extLst>
              <a:ext uri="{FF2B5EF4-FFF2-40B4-BE49-F238E27FC236}">
                <a16:creationId xmlns:a16="http://schemas.microsoft.com/office/drawing/2014/main" id="{8081C339-50EF-4179-83D6-29CFFD57CB4A}"/>
              </a:ext>
            </a:extLst>
          </xdr:cNvPr>
          <xdr:cNvCxnSpPr>
            <a:stCxn id="14" idx="2"/>
            <a:endCxn id="4" idx="0"/>
          </xdr:cNvCxnSpPr>
        </xdr:nvCxnSpPr>
        <xdr:spPr>
          <a:xfrm rot="16200000" flipH="1">
            <a:off x="2395921" y="8130474"/>
            <a:ext cx="516487" cy="125443"/>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2" name="Connector: Elbow 91">
            <a:extLst>
              <a:ext uri="{FF2B5EF4-FFF2-40B4-BE49-F238E27FC236}">
                <a16:creationId xmlns:a16="http://schemas.microsoft.com/office/drawing/2014/main" id="{9A97054E-BCB4-441A-B489-D15B1873C759}"/>
              </a:ext>
            </a:extLst>
          </xdr:cNvPr>
          <xdr:cNvCxnSpPr>
            <a:stCxn id="74" idx="2"/>
            <a:endCxn id="15" idx="0"/>
          </xdr:cNvCxnSpPr>
        </xdr:nvCxnSpPr>
        <xdr:spPr>
          <a:xfrm rot="16200000" flipH="1">
            <a:off x="5907536" y="7961588"/>
            <a:ext cx="602456" cy="179764"/>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1" name="Flowchart: Decision 130">
            <a:extLst>
              <a:ext uri="{FF2B5EF4-FFF2-40B4-BE49-F238E27FC236}">
                <a16:creationId xmlns:a16="http://schemas.microsoft.com/office/drawing/2014/main" id="{6D91832B-B2FA-4B18-8E59-6C538FA0FC59}"/>
              </a:ext>
            </a:extLst>
          </xdr:cNvPr>
          <xdr:cNvSpPr/>
        </xdr:nvSpPr>
        <xdr:spPr>
          <a:xfrm>
            <a:off x="3637917" y="9309722"/>
            <a:ext cx="1901260" cy="979810"/>
          </a:xfrm>
          <a:prstGeom prst="flowChartDecision">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wrap="square" numCol="1" spcCol="91440" rtlCol="0" anchor="t">
            <a:noAutofit/>
          </a:bodyPr>
          <a:lstStyle/>
          <a:p>
            <a:pPr algn="l"/>
            <a:r>
              <a:rPr lang="en-US" sz="1100"/>
              <a:t>Approved ?</a:t>
            </a:r>
          </a:p>
        </xdr:txBody>
      </xdr:sp>
      <xdr:cxnSp macro="">
        <xdr:nvCxnSpPr>
          <xdr:cNvPr id="16458" name="Connector: Elbow 16457">
            <a:extLst>
              <a:ext uri="{FF2B5EF4-FFF2-40B4-BE49-F238E27FC236}">
                <a16:creationId xmlns:a16="http://schemas.microsoft.com/office/drawing/2014/main" id="{98FFAD05-5142-4E5A-84BA-1CE2E90C033F}"/>
              </a:ext>
            </a:extLst>
          </xdr:cNvPr>
          <xdr:cNvCxnSpPr>
            <a:stCxn id="86" idx="2"/>
            <a:endCxn id="131" idx="0"/>
          </xdr:cNvCxnSpPr>
        </xdr:nvCxnSpPr>
        <xdr:spPr>
          <a:xfrm rot="16200000" flipH="1">
            <a:off x="4250817" y="8969610"/>
            <a:ext cx="531678" cy="148544"/>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463" name="Connector: Elbow 16462">
            <a:extLst>
              <a:ext uri="{FF2B5EF4-FFF2-40B4-BE49-F238E27FC236}">
                <a16:creationId xmlns:a16="http://schemas.microsoft.com/office/drawing/2014/main" id="{228570A4-EEB9-4A72-88D5-89C8D69969E9}"/>
              </a:ext>
            </a:extLst>
          </xdr:cNvPr>
          <xdr:cNvCxnSpPr>
            <a:stCxn id="131" idx="3"/>
            <a:endCxn id="58" idx="3"/>
          </xdr:cNvCxnSpPr>
        </xdr:nvCxnSpPr>
        <xdr:spPr>
          <a:xfrm flipV="1">
            <a:off x="5539178" y="6219782"/>
            <a:ext cx="1171185" cy="3579845"/>
          </a:xfrm>
          <a:prstGeom prst="bentConnector3">
            <a:avLst>
              <a:gd name="adj1" fmla="val 121239"/>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467" name="Connector: Elbow 16466">
            <a:extLst>
              <a:ext uri="{FF2B5EF4-FFF2-40B4-BE49-F238E27FC236}">
                <a16:creationId xmlns:a16="http://schemas.microsoft.com/office/drawing/2014/main" id="{4FBD6D77-0F7A-4E22-9B04-6C54DE964957}"/>
              </a:ext>
            </a:extLst>
          </xdr:cNvPr>
          <xdr:cNvCxnSpPr>
            <a:stCxn id="131" idx="2"/>
            <a:endCxn id="7" idx="0"/>
          </xdr:cNvCxnSpPr>
        </xdr:nvCxnSpPr>
        <xdr:spPr>
          <a:xfrm rot="16200000" flipH="1">
            <a:off x="4704175" y="10176286"/>
            <a:ext cx="692793" cy="919284"/>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471" name="Flowchart: Off-page Connector 16470">
            <a:extLst>
              <a:ext uri="{FF2B5EF4-FFF2-40B4-BE49-F238E27FC236}">
                <a16:creationId xmlns:a16="http://schemas.microsoft.com/office/drawing/2014/main" id="{841254A1-365F-44BD-9DDD-936186DFC5BC}"/>
              </a:ext>
            </a:extLst>
          </xdr:cNvPr>
          <xdr:cNvSpPr/>
        </xdr:nvSpPr>
        <xdr:spPr>
          <a:xfrm>
            <a:off x="5015703" y="12038445"/>
            <a:ext cx="1023004" cy="806018"/>
          </a:xfrm>
          <a:prstGeom prst="flowChartOffpageConnector">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nchorCtr="1"/>
          <a:lstStyle/>
          <a:p>
            <a:pPr algn="l"/>
            <a:r>
              <a:rPr lang="en-US" sz="1100"/>
              <a:t>Proceed to Bulk. </a:t>
            </a:r>
          </a:p>
        </xdr:txBody>
      </xdr:sp>
      <xdr:sp macro="" textlink="">
        <xdr:nvSpPr>
          <xdr:cNvPr id="129" name="Flowchart: Merge 128">
            <a:extLst>
              <a:ext uri="{FF2B5EF4-FFF2-40B4-BE49-F238E27FC236}">
                <a16:creationId xmlns:a16="http://schemas.microsoft.com/office/drawing/2014/main" id="{BFF31AE8-A378-4DE9-9C75-385796D1795D}"/>
              </a:ext>
            </a:extLst>
          </xdr:cNvPr>
          <xdr:cNvSpPr/>
        </xdr:nvSpPr>
        <xdr:spPr>
          <a:xfrm>
            <a:off x="2064187" y="10175601"/>
            <a:ext cx="1272959" cy="501298"/>
          </a:xfrm>
          <a:prstGeom prst="flowChartMerge">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nchorCtr="1"/>
          <a:lstStyle/>
          <a:p>
            <a:pPr algn="l"/>
            <a:r>
              <a:rPr lang="en-US" sz="1100"/>
              <a:t>Select</a:t>
            </a:r>
          </a:p>
        </xdr:txBody>
      </xdr:sp>
      <xdr:cxnSp macro="">
        <xdr:nvCxnSpPr>
          <xdr:cNvPr id="136" name="Connector: Elbow 135">
            <a:extLst>
              <a:ext uri="{FF2B5EF4-FFF2-40B4-BE49-F238E27FC236}">
                <a16:creationId xmlns:a16="http://schemas.microsoft.com/office/drawing/2014/main" id="{29C01CA9-9FAD-4198-B5F1-D4C6A419118D}"/>
              </a:ext>
            </a:extLst>
          </xdr:cNvPr>
          <xdr:cNvCxnSpPr>
            <a:stCxn id="4" idx="2"/>
            <a:endCxn id="129" idx="0"/>
          </xdr:cNvCxnSpPr>
        </xdr:nvCxnSpPr>
        <xdr:spPr>
          <a:xfrm rot="5400000">
            <a:off x="2446734" y="9905449"/>
            <a:ext cx="524084" cy="1622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8" name="Connector: Elbow 137">
            <a:extLst>
              <a:ext uri="{FF2B5EF4-FFF2-40B4-BE49-F238E27FC236}">
                <a16:creationId xmlns:a16="http://schemas.microsoft.com/office/drawing/2014/main" id="{0F6EE1A6-3E3C-4229-8679-D327240326BB}"/>
              </a:ext>
            </a:extLst>
          </xdr:cNvPr>
          <xdr:cNvCxnSpPr>
            <a:stCxn id="129" idx="2"/>
            <a:endCxn id="7" idx="0"/>
          </xdr:cNvCxnSpPr>
        </xdr:nvCxnSpPr>
        <xdr:spPr>
          <a:xfrm rot="16200000" flipH="1">
            <a:off x="3952726" y="9424839"/>
            <a:ext cx="305426" cy="2809546"/>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9" name="Flowchart: Magnetic Disk 138">
            <a:extLst>
              <a:ext uri="{FF2B5EF4-FFF2-40B4-BE49-F238E27FC236}">
                <a16:creationId xmlns:a16="http://schemas.microsoft.com/office/drawing/2014/main" id="{C9C76158-F229-4945-A9E0-08C888F1A685}"/>
              </a:ext>
            </a:extLst>
          </xdr:cNvPr>
          <xdr:cNvSpPr/>
        </xdr:nvSpPr>
        <xdr:spPr>
          <a:xfrm>
            <a:off x="1519443" y="10999743"/>
            <a:ext cx="819500" cy="1211285"/>
          </a:xfrm>
          <a:prstGeom prst="flowChartMagneticDisk">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nchorCtr="1"/>
          <a:lstStyle/>
          <a:p>
            <a:pPr algn="l"/>
            <a:r>
              <a:rPr lang="en-US" sz="1100"/>
              <a:t>Save for future release</a:t>
            </a:r>
          </a:p>
        </xdr:txBody>
      </xdr:sp>
      <xdr:cxnSp macro="">
        <xdr:nvCxnSpPr>
          <xdr:cNvPr id="141" name="Connector: Elbow 140">
            <a:extLst>
              <a:ext uri="{FF2B5EF4-FFF2-40B4-BE49-F238E27FC236}">
                <a16:creationId xmlns:a16="http://schemas.microsoft.com/office/drawing/2014/main" id="{80E0D4E4-F780-4181-8AFA-EAE330CB6D14}"/>
              </a:ext>
            </a:extLst>
          </xdr:cNvPr>
          <xdr:cNvCxnSpPr>
            <a:stCxn id="129" idx="1"/>
            <a:endCxn id="139" idx="1"/>
          </xdr:cNvCxnSpPr>
        </xdr:nvCxnSpPr>
        <xdr:spPr>
          <a:xfrm rot="10800000" flipV="1">
            <a:off x="1929193" y="10426251"/>
            <a:ext cx="453234" cy="573492"/>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Connector: Elbow 29">
            <a:extLst>
              <a:ext uri="{FF2B5EF4-FFF2-40B4-BE49-F238E27FC236}">
                <a16:creationId xmlns:a16="http://schemas.microsoft.com/office/drawing/2014/main" id="{ABB26D75-8876-4CDF-A2F7-FC4D2F5F1AB6}"/>
              </a:ext>
            </a:extLst>
          </xdr:cNvPr>
          <xdr:cNvCxnSpPr>
            <a:stCxn id="4" idx="1"/>
            <a:endCxn id="56" idx="1"/>
          </xdr:cNvCxnSpPr>
        </xdr:nvCxnSpPr>
        <xdr:spPr>
          <a:xfrm rot="10800000">
            <a:off x="1832118" y="6277775"/>
            <a:ext cx="29009" cy="2773705"/>
          </a:xfrm>
          <a:prstGeom prst="bentConnector3">
            <a:avLst>
              <a:gd name="adj1" fmla="val 957497"/>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 name="Connector: Elbow 67">
            <a:extLst>
              <a:ext uri="{FF2B5EF4-FFF2-40B4-BE49-F238E27FC236}">
                <a16:creationId xmlns:a16="http://schemas.microsoft.com/office/drawing/2014/main" id="{1B1F8129-963B-49B7-91F2-28F0FDDD3141}"/>
              </a:ext>
            </a:extLst>
          </xdr:cNvPr>
          <xdr:cNvCxnSpPr>
            <a:stCxn id="15" idx="1"/>
            <a:endCxn id="86" idx="1"/>
          </xdr:cNvCxnSpPr>
        </xdr:nvCxnSpPr>
        <xdr:spPr>
          <a:xfrm rot="10800000">
            <a:off x="4724239" y="8459037"/>
            <a:ext cx="644465" cy="379768"/>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DigitalPrinting">
            <a:extLst>
              <a:ext uri="{FF2B5EF4-FFF2-40B4-BE49-F238E27FC236}">
                <a16:creationId xmlns:a16="http://schemas.microsoft.com/office/drawing/2014/main" id="{B1196823-52EA-4E92-934F-1071628AF038}"/>
              </a:ext>
            </a:extLst>
          </xdr:cNvPr>
          <xdr:cNvSpPr/>
        </xdr:nvSpPr>
        <xdr:spPr>
          <a:xfrm>
            <a:off x="1832117" y="5868998"/>
            <a:ext cx="1479450" cy="81755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100"/>
              <a:t>Develop Digitally Printed</a:t>
            </a:r>
          </a:p>
          <a:p>
            <a:pPr algn="l"/>
            <a:r>
              <a:rPr lang="en-US" sz="1100"/>
              <a:t>S/O</a:t>
            </a:r>
          </a:p>
        </xdr:txBody>
      </xdr:sp>
      <xdr:sp macro="" textlink="">
        <xdr:nvSpPr>
          <xdr:cNvPr id="58" name="TablePrinting">
            <a:extLst>
              <a:ext uri="{FF2B5EF4-FFF2-40B4-BE49-F238E27FC236}">
                <a16:creationId xmlns:a16="http://schemas.microsoft.com/office/drawing/2014/main" id="{892F0096-DBA4-490F-81F0-37476DC61166}"/>
              </a:ext>
            </a:extLst>
          </xdr:cNvPr>
          <xdr:cNvSpPr/>
        </xdr:nvSpPr>
        <xdr:spPr>
          <a:xfrm>
            <a:off x="5230913" y="5800639"/>
            <a:ext cx="1479450" cy="83828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100"/>
              <a:t>Develop Table Printed / Lab Dip Plain S/O</a:t>
            </a:r>
          </a:p>
        </xdr:txBody>
      </xdr:sp>
      <xdr:cxnSp macro="">
        <xdr:nvCxnSpPr>
          <xdr:cNvPr id="76" name="Connector: Elbow 75">
            <a:extLst>
              <a:ext uri="{FF2B5EF4-FFF2-40B4-BE49-F238E27FC236}">
                <a16:creationId xmlns:a16="http://schemas.microsoft.com/office/drawing/2014/main" id="{B6BFB923-4334-4B32-B473-238DC2DA10EA}"/>
              </a:ext>
            </a:extLst>
          </xdr:cNvPr>
          <xdr:cNvCxnSpPr>
            <a:stCxn id="56" idx="2"/>
            <a:endCxn id="14" idx="0"/>
          </xdr:cNvCxnSpPr>
        </xdr:nvCxnSpPr>
        <xdr:spPr>
          <a:xfrm rot="16200000" flipH="1">
            <a:off x="2299235" y="6959156"/>
            <a:ext cx="564815" cy="19601"/>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8" name="Connector: Elbow 77">
            <a:extLst>
              <a:ext uri="{FF2B5EF4-FFF2-40B4-BE49-F238E27FC236}">
                <a16:creationId xmlns:a16="http://schemas.microsoft.com/office/drawing/2014/main" id="{556B39F8-704A-46A2-B492-3452AA5144CB}"/>
              </a:ext>
            </a:extLst>
          </xdr:cNvPr>
          <xdr:cNvCxnSpPr>
            <a:stCxn id="58" idx="2"/>
            <a:endCxn id="74" idx="0"/>
          </xdr:cNvCxnSpPr>
        </xdr:nvCxnSpPr>
        <xdr:spPr>
          <a:xfrm rot="16200000" flipH="1">
            <a:off x="5815704" y="6793857"/>
            <a:ext cx="458111" cy="148244"/>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Rectangle: Rounded Corners 6">
            <a:extLst>
              <a:ext uri="{FF2B5EF4-FFF2-40B4-BE49-F238E27FC236}">
                <a16:creationId xmlns:a16="http://schemas.microsoft.com/office/drawing/2014/main" id="{07106E96-ADB8-446C-88FE-925DCEA073C9}"/>
              </a:ext>
            </a:extLst>
          </xdr:cNvPr>
          <xdr:cNvSpPr/>
        </xdr:nvSpPr>
        <xdr:spPr>
          <a:xfrm>
            <a:off x="4557713" y="10982325"/>
            <a:ext cx="1905000" cy="76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100"/>
              <a:t>Develop Lining and Jersey S/O to match the Shell S/O.  </a:t>
            </a:r>
          </a:p>
        </xdr:txBody>
      </xdr:sp>
      <xdr:cxnSp macro="">
        <xdr:nvCxnSpPr>
          <xdr:cNvPr id="21" name="Connector: Elbow 20">
            <a:extLst>
              <a:ext uri="{FF2B5EF4-FFF2-40B4-BE49-F238E27FC236}">
                <a16:creationId xmlns:a16="http://schemas.microsoft.com/office/drawing/2014/main" id="{A43A4961-2E2B-4CF5-9D9E-5B1EA91081E1}"/>
              </a:ext>
            </a:extLst>
          </xdr:cNvPr>
          <xdr:cNvCxnSpPr>
            <a:stCxn id="7" idx="2"/>
            <a:endCxn id="16471" idx="0"/>
          </xdr:cNvCxnSpPr>
        </xdr:nvCxnSpPr>
        <xdr:spPr>
          <a:xfrm rot="16200000" flipH="1">
            <a:off x="5371649" y="11882889"/>
            <a:ext cx="294120" cy="16992"/>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2053170</xdr:colOff>
      <xdr:row>7</xdr:row>
      <xdr:rowOff>180975</xdr:rowOff>
    </xdr:from>
    <xdr:to>
      <xdr:col>5</xdr:col>
      <xdr:colOff>2604198</xdr:colOff>
      <xdr:row>58</xdr:row>
      <xdr:rowOff>66673</xdr:rowOff>
    </xdr:to>
    <xdr:grpSp>
      <xdr:nvGrpSpPr>
        <xdr:cNvPr id="3" name="Group 2">
          <a:extLst>
            <a:ext uri="{FF2B5EF4-FFF2-40B4-BE49-F238E27FC236}">
              <a16:creationId xmlns:a16="http://schemas.microsoft.com/office/drawing/2014/main" id="{06CBE55C-952F-4900-977B-B603BBC8953D}"/>
            </a:ext>
          </a:extLst>
        </xdr:cNvPr>
        <xdr:cNvGrpSpPr/>
      </xdr:nvGrpSpPr>
      <xdr:grpSpPr>
        <a:xfrm>
          <a:off x="6101295" y="3076575"/>
          <a:ext cx="5542128" cy="9582148"/>
          <a:chOff x="1030157" y="3305175"/>
          <a:chExt cx="5555515" cy="9592407"/>
        </a:xfrm>
      </xdr:grpSpPr>
      <xdr:sp macro="" textlink="">
        <xdr:nvSpPr>
          <xdr:cNvPr id="2" name="DigitalPrintApproval">
            <a:extLst>
              <a:ext uri="{FF2B5EF4-FFF2-40B4-BE49-F238E27FC236}">
                <a16:creationId xmlns:a16="http://schemas.microsoft.com/office/drawing/2014/main" id="{F9DE17A1-3D5C-4F01-8AEC-5170E220C4F4}"/>
              </a:ext>
            </a:extLst>
          </xdr:cNvPr>
          <xdr:cNvSpPr/>
        </xdr:nvSpPr>
        <xdr:spPr>
          <a:xfrm>
            <a:off x="2679816" y="8536635"/>
            <a:ext cx="1721046" cy="1200077"/>
          </a:xfrm>
          <a:prstGeom prst="diamond">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Bokitta Approval? </a:t>
            </a:r>
          </a:p>
        </xdr:txBody>
      </xdr:sp>
      <xdr:sp macro="" textlink="">
        <xdr:nvSpPr>
          <xdr:cNvPr id="5" name="StrikeOff SOP">
            <a:extLst>
              <a:ext uri="{FF2B5EF4-FFF2-40B4-BE49-F238E27FC236}">
                <a16:creationId xmlns:a16="http://schemas.microsoft.com/office/drawing/2014/main" id="{B3842B02-EFCB-4DE6-BA80-C9321EEF0417}"/>
              </a:ext>
            </a:extLst>
          </xdr:cNvPr>
          <xdr:cNvSpPr/>
        </xdr:nvSpPr>
        <xdr:spPr>
          <a:xfrm>
            <a:off x="3024186" y="3305175"/>
            <a:ext cx="2018386" cy="99060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t>FOB of Shell/Lining/Jersey SOP </a:t>
            </a:r>
          </a:p>
        </xdr:txBody>
      </xdr:sp>
      <xdr:cxnSp macro="">
        <xdr:nvCxnSpPr>
          <xdr:cNvPr id="7" name="Connector: Elbow 6">
            <a:extLst>
              <a:ext uri="{FF2B5EF4-FFF2-40B4-BE49-F238E27FC236}">
                <a16:creationId xmlns:a16="http://schemas.microsoft.com/office/drawing/2014/main" id="{3D5881DA-A86F-4B2C-B588-B24DAB89F982}"/>
              </a:ext>
            </a:extLst>
          </xdr:cNvPr>
          <xdr:cNvCxnSpPr>
            <a:stCxn id="5" idx="1"/>
            <a:endCxn id="30" idx="0"/>
          </xdr:cNvCxnSpPr>
        </xdr:nvCxnSpPr>
        <xdr:spPr>
          <a:xfrm rot="5400000">
            <a:off x="3670906" y="4549262"/>
            <a:ext cx="611198" cy="104225"/>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Arrow: Chevron 8">
            <a:extLst>
              <a:ext uri="{FF2B5EF4-FFF2-40B4-BE49-F238E27FC236}">
                <a16:creationId xmlns:a16="http://schemas.microsoft.com/office/drawing/2014/main" id="{36F7EFEA-A8CE-4C42-951C-41E75C833330}"/>
              </a:ext>
            </a:extLst>
          </xdr:cNvPr>
          <xdr:cNvSpPr/>
        </xdr:nvSpPr>
        <xdr:spPr>
          <a:xfrm>
            <a:off x="2480386" y="6163352"/>
            <a:ext cx="1894277" cy="653206"/>
          </a:xfrm>
          <a:prstGeom prst="chevron">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nchorCtr="1"/>
          <a:lstStyle/>
          <a:p>
            <a:pPr algn="l"/>
            <a:r>
              <a:rPr lang="en-US" sz="1100">
                <a:solidFill>
                  <a:schemeClr val="tx1"/>
                </a:solidFill>
              </a:rPr>
              <a:t>Send FOB to Bokitta India.</a:t>
            </a:r>
          </a:p>
        </xdr:txBody>
      </xdr:sp>
      <xdr:sp macro="" textlink="">
        <xdr:nvSpPr>
          <xdr:cNvPr id="10" name="Flowchart: Decision 9">
            <a:extLst>
              <a:ext uri="{FF2B5EF4-FFF2-40B4-BE49-F238E27FC236}">
                <a16:creationId xmlns:a16="http://schemas.microsoft.com/office/drawing/2014/main" id="{D4C5BEA7-DB27-4A7D-9EC3-80ADE4FF494F}"/>
              </a:ext>
            </a:extLst>
          </xdr:cNvPr>
          <xdr:cNvSpPr/>
        </xdr:nvSpPr>
        <xdr:spPr>
          <a:xfrm>
            <a:off x="4725789" y="6780604"/>
            <a:ext cx="1859883" cy="972214"/>
          </a:xfrm>
          <a:prstGeom prst="flowChartDecision">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wrap="square" numCol="1" spcCol="91440" rtlCol="0" anchor="ctr" anchorCtr="1">
            <a:noAutofit/>
          </a:bodyPr>
          <a:lstStyle/>
          <a:p>
            <a:pPr algn="l"/>
            <a:r>
              <a:rPr lang="en-US" sz="1000"/>
              <a:t>Approved</a:t>
            </a:r>
            <a:r>
              <a:rPr lang="en-US" sz="1100"/>
              <a:t> ? </a:t>
            </a:r>
          </a:p>
        </xdr:txBody>
      </xdr:sp>
      <xdr:cxnSp macro="">
        <xdr:nvCxnSpPr>
          <xdr:cNvPr id="11" name="Connector: Elbow 10">
            <a:extLst>
              <a:ext uri="{FF2B5EF4-FFF2-40B4-BE49-F238E27FC236}">
                <a16:creationId xmlns:a16="http://schemas.microsoft.com/office/drawing/2014/main" id="{79366F4F-ADD9-4DE4-9C54-39F0615869D4}"/>
              </a:ext>
            </a:extLst>
          </xdr:cNvPr>
          <xdr:cNvCxnSpPr>
            <a:stCxn id="10" idx="3"/>
            <a:endCxn id="30" idx="3"/>
          </xdr:cNvCxnSpPr>
        </xdr:nvCxnSpPr>
        <xdr:spPr>
          <a:xfrm flipH="1" flipV="1">
            <a:off x="4673642" y="5315749"/>
            <a:ext cx="1912030" cy="1950962"/>
          </a:xfrm>
          <a:prstGeom prst="bentConnector3">
            <a:avLst>
              <a:gd name="adj1" fmla="val -11985"/>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Arrow: Chevron 11">
            <a:extLst>
              <a:ext uri="{FF2B5EF4-FFF2-40B4-BE49-F238E27FC236}">
                <a16:creationId xmlns:a16="http://schemas.microsoft.com/office/drawing/2014/main" id="{5E8EEBAB-60F5-4AC4-872C-CE478EA44F5D}"/>
              </a:ext>
            </a:extLst>
          </xdr:cNvPr>
          <xdr:cNvSpPr/>
        </xdr:nvSpPr>
        <xdr:spPr>
          <a:xfrm flipH="1">
            <a:off x="1869027" y="7463499"/>
            <a:ext cx="1614605" cy="638015"/>
          </a:xfrm>
          <a:prstGeom prst="chevron">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nchorCtr="1"/>
          <a:lstStyle/>
          <a:p>
            <a:pPr algn="l"/>
            <a:r>
              <a:rPr lang="en-US" sz="1100">
                <a:solidFill>
                  <a:schemeClr val="tx1"/>
                </a:solidFill>
              </a:rPr>
              <a:t>Send FOB to Bokitta HQ.</a:t>
            </a:r>
          </a:p>
        </xdr:txBody>
      </xdr:sp>
      <xdr:cxnSp macro="">
        <xdr:nvCxnSpPr>
          <xdr:cNvPr id="17" name="Connector: Elbow 16">
            <a:extLst>
              <a:ext uri="{FF2B5EF4-FFF2-40B4-BE49-F238E27FC236}">
                <a16:creationId xmlns:a16="http://schemas.microsoft.com/office/drawing/2014/main" id="{F882B2CA-8ECE-4D7C-9CFF-43E84A3022D1}"/>
              </a:ext>
            </a:extLst>
          </xdr:cNvPr>
          <xdr:cNvCxnSpPr>
            <a:stCxn id="9" idx="2"/>
            <a:endCxn id="10" idx="0"/>
          </xdr:cNvCxnSpPr>
        </xdr:nvCxnSpPr>
        <xdr:spPr>
          <a:xfrm rot="5400000" flipH="1" flipV="1">
            <a:off x="4441890" y="5602718"/>
            <a:ext cx="35953" cy="2391728"/>
          </a:xfrm>
          <a:prstGeom prst="bentConnector5">
            <a:avLst>
              <a:gd name="adj1" fmla="val -636503"/>
              <a:gd name="adj2" fmla="val 53778"/>
              <a:gd name="adj3" fmla="val 73650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9" name="Connector: Elbow 18">
            <a:extLst>
              <a:ext uri="{FF2B5EF4-FFF2-40B4-BE49-F238E27FC236}">
                <a16:creationId xmlns:a16="http://schemas.microsoft.com/office/drawing/2014/main" id="{5458766D-D23F-45C7-9786-FFD886050A76}"/>
              </a:ext>
            </a:extLst>
          </xdr:cNvPr>
          <xdr:cNvCxnSpPr>
            <a:stCxn id="12" idx="2"/>
            <a:endCxn id="2" idx="0"/>
          </xdr:cNvCxnSpPr>
        </xdr:nvCxnSpPr>
        <xdr:spPr>
          <a:xfrm rot="16200000" flipH="1">
            <a:off x="2970633" y="7966928"/>
            <a:ext cx="435120" cy="704292"/>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Connector: Elbow 20">
            <a:extLst>
              <a:ext uri="{FF2B5EF4-FFF2-40B4-BE49-F238E27FC236}">
                <a16:creationId xmlns:a16="http://schemas.microsoft.com/office/drawing/2014/main" id="{48C83C96-F9F2-46E5-8773-F469F40E4383}"/>
              </a:ext>
            </a:extLst>
          </xdr:cNvPr>
          <xdr:cNvCxnSpPr>
            <a:stCxn id="2" idx="2"/>
            <a:endCxn id="23" idx="0"/>
          </xdr:cNvCxnSpPr>
        </xdr:nvCxnSpPr>
        <xdr:spPr>
          <a:xfrm rot="16200000" flipH="1">
            <a:off x="4204311" y="9072740"/>
            <a:ext cx="424271" cy="1752212"/>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2" name="Flowchart: Off-page Connector 21">
            <a:extLst>
              <a:ext uri="{FF2B5EF4-FFF2-40B4-BE49-F238E27FC236}">
                <a16:creationId xmlns:a16="http://schemas.microsoft.com/office/drawing/2014/main" id="{EA0138A2-E8BF-4D6B-AE3B-8E286E413607}"/>
              </a:ext>
            </a:extLst>
          </xdr:cNvPr>
          <xdr:cNvSpPr/>
        </xdr:nvSpPr>
        <xdr:spPr>
          <a:xfrm>
            <a:off x="1030157" y="12077277"/>
            <a:ext cx="1023004" cy="820305"/>
          </a:xfrm>
          <a:prstGeom prst="flowChartOffpageConnector">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nchorCtr="1"/>
          <a:lstStyle/>
          <a:p>
            <a:pPr algn="l"/>
            <a:r>
              <a:rPr lang="en-US" sz="1100"/>
              <a:t>Proceed to Fabric</a:t>
            </a:r>
            <a:r>
              <a:rPr lang="en-US" sz="1100" baseline="0"/>
              <a:t> Production</a:t>
            </a:r>
            <a:r>
              <a:rPr lang="en-US" sz="1100"/>
              <a:t>. </a:t>
            </a:r>
          </a:p>
        </xdr:txBody>
      </xdr:sp>
      <xdr:cxnSp macro="">
        <xdr:nvCxnSpPr>
          <xdr:cNvPr id="28" name="Connector: Elbow 27">
            <a:extLst>
              <a:ext uri="{FF2B5EF4-FFF2-40B4-BE49-F238E27FC236}">
                <a16:creationId xmlns:a16="http://schemas.microsoft.com/office/drawing/2014/main" id="{E080EFAD-F915-45DF-AF4D-052C2BD86691}"/>
              </a:ext>
            </a:extLst>
          </xdr:cNvPr>
          <xdr:cNvCxnSpPr>
            <a:stCxn id="2" idx="1"/>
            <a:endCxn id="30" idx="1"/>
          </xdr:cNvCxnSpPr>
        </xdr:nvCxnSpPr>
        <xdr:spPr>
          <a:xfrm rot="10800000" flipH="1">
            <a:off x="2679815" y="5315749"/>
            <a:ext cx="504852" cy="3820925"/>
          </a:xfrm>
          <a:prstGeom prst="bentConnector3">
            <a:avLst>
              <a:gd name="adj1" fmla="val -23073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Connector: Elbow 28">
            <a:extLst>
              <a:ext uri="{FF2B5EF4-FFF2-40B4-BE49-F238E27FC236}">
                <a16:creationId xmlns:a16="http://schemas.microsoft.com/office/drawing/2014/main" id="{A39B15A5-61EE-476F-BD2A-26D53419AB37}"/>
              </a:ext>
            </a:extLst>
          </xdr:cNvPr>
          <xdr:cNvCxnSpPr>
            <a:stCxn id="10" idx="1"/>
            <a:endCxn id="12" idx="1"/>
          </xdr:cNvCxnSpPr>
        </xdr:nvCxnSpPr>
        <xdr:spPr>
          <a:xfrm rot="10800000" flipV="1">
            <a:off x="3164196" y="7266710"/>
            <a:ext cx="1561594" cy="515797"/>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0" name="DigitalPrinting">
            <a:extLst>
              <a:ext uri="{FF2B5EF4-FFF2-40B4-BE49-F238E27FC236}">
                <a16:creationId xmlns:a16="http://schemas.microsoft.com/office/drawing/2014/main" id="{6AC5F4B9-8F7D-4300-A15A-1E604352B465}"/>
              </a:ext>
            </a:extLst>
          </xdr:cNvPr>
          <xdr:cNvSpPr/>
        </xdr:nvSpPr>
        <xdr:spPr>
          <a:xfrm>
            <a:off x="3184667" y="4906973"/>
            <a:ext cx="1488975" cy="81755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100"/>
              <a:t>Develop FOB for Shell</a:t>
            </a:r>
          </a:p>
        </xdr:txBody>
      </xdr:sp>
      <xdr:cxnSp macro="">
        <xdr:nvCxnSpPr>
          <xdr:cNvPr id="32" name="Connector: Elbow 31">
            <a:extLst>
              <a:ext uri="{FF2B5EF4-FFF2-40B4-BE49-F238E27FC236}">
                <a16:creationId xmlns:a16="http://schemas.microsoft.com/office/drawing/2014/main" id="{ACCDB0C7-80FB-4D48-BD46-86F52DF3BAB4}"/>
              </a:ext>
            </a:extLst>
          </xdr:cNvPr>
          <xdr:cNvCxnSpPr>
            <a:stCxn id="30" idx="2"/>
            <a:endCxn id="9" idx="0"/>
          </xdr:cNvCxnSpPr>
        </xdr:nvCxnSpPr>
        <xdr:spPr>
          <a:xfrm rot="5400000">
            <a:off x="3377167" y="5611363"/>
            <a:ext cx="438826" cy="665152"/>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xdr:col>
      <xdr:colOff>1560512</xdr:colOff>
      <xdr:row>0</xdr:row>
      <xdr:rowOff>141287</xdr:rowOff>
    </xdr:from>
    <xdr:to>
      <xdr:col>3</xdr:col>
      <xdr:colOff>2668348</xdr:colOff>
      <xdr:row>0</xdr:row>
      <xdr:rowOff>1055687</xdr:rowOff>
    </xdr:to>
    <xdr:pic>
      <xdr:nvPicPr>
        <xdr:cNvPr id="34" name="Picture 33">
          <a:extLst>
            <a:ext uri="{FF2B5EF4-FFF2-40B4-BE49-F238E27FC236}">
              <a16:creationId xmlns:a16="http://schemas.microsoft.com/office/drawing/2014/main" id="{613067F1-E797-4D4A-8C89-2252D2DA998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51212" y="141287"/>
          <a:ext cx="3365261" cy="914400"/>
        </a:xfrm>
        <a:prstGeom prst="rect">
          <a:avLst/>
        </a:prstGeom>
      </xdr:spPr>
    </xdr:pic>
    <xdr:clientData/>
  </xdr:twoCellAnchor>
  <xdr:twoCellAnchor>
    <xdr:from>
      <xdr:col>5</xdr:col>
      <xdr:colOff>628650</xdr:colOff>
      <xdr:row>43</xdr:row>
      <xdr:rowOff>114300</xdr:rowOff>
    </xdr:from>
    <xdr:to>
      <xdr:col>5</xdr:col>
      <xdr:colOff>2114037</xdr:colOff>
      <xdr:row>47</xdr:row>
      <xdr:rowOff>168978</xdr:rowOff>
    </xdr:to>
    <xdr:sp macro="" textlink="">
      <xdr:nvSpPr>
        <xdr:cNvPr id="23" name="DigitalPrinting">
          <a:extLst>
            <a:ext uri="{FF2B5EF4-FFF2-40B4-BE49-F238E27FC236}">
              <a16:creationId xmlns:a16="http://schemas.microsoft.com/office/drawing/2014/main" id="{08848C92-1659-46C5-B4AA-D01E76BC6485}"/>
            </a:ext>
          </a:extLst>
        </xdr:cNvPr>
        <xdr:cNvSpPr/>
      </xdr:nvSpPr>
      <xdr:spPr>
        <a:xfrm>
          <a:off x="9667875" y="9839325"/>
          <a:ext cx="1485387" cy="816678"/>
        </a:xfrm>
        <a:prstGeom prst="roundRect">
          <a:avLst/>
        </a:prstGeom>
        <a:solidFill>
          <a:schemeClr val="accent6">
            <a:lumMod val="75000"/>
          </a:schemeClr>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100"/>
            <a:t>Develop FOB for </a:t>
          </a:r>
          <a:r>
            <a:rPr lang="en-US" sz="1100" baseline="0"/>
            <a:t> Lining, and Jersey</a:t>
          </a:r>
          <a:endParaRPr lang="en-US" sz="1100"/>
        </a:p>
      </xdr:txBody>
    </xdr:sp>
    <xdr:clientData/>
  </xdr:twoCellAnchor>
  <xdr:twoCellAnchor>
    <xdr:from>
      <xdr:col>3</xdr:col>
      <xdr:colOff>2867025</xdr:colOff>
      <xdr:row>46</xdr:row>
      <xdr:rowOff>123825</xdr:rowOff>
    </xdr:from>
    <xdr:to>
      <xdr:col>4</xdr:col>
      <xdr:colOff>1050149</xdr:colOff>
      <xdr:row>52</xdr:row>
      <xdr:rowOff>179618</xdr:rowOff>
    </xdr:to>
    <xdr:sp macro="" textlink="">
      <xdr:nvSpPr>
        <xdr:cNvPr id="24" name="DigitalPrintApproval">
          <a:extLst>
            <a:ext uri="{FF2B5EF4-FFF2-40B4-BE49-F238E27FC236}">
              <a16:creationId xmlns:a16="http://schemas.microsoft.com/office/drawing/2014/main" id="{56A4186C-BB1B-4D81-93A7-9F4441EED4AF}"/>
            </a:ext>
          </a:extLst>
        </xdr:cNvPr>
        <xdr:cNvSpPr/>
      </xdr:nvSpPr>
      <xdr:spPr>
        <a:xfrm>
          <a:off x="6915150" y="10420350"/>
          <a:ext cx="1716899" cy="1198793"/>
        </a:xfrm>
        <a:prstGeom prst="diamond">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Bokitta Approval? </a:t>
          </a:r>
        </a:p>
      </xdr:txBody>
    </xdr:sp>
    <xdr:clientData/>
  </xdr:twoCellAnchor>
  <xdr:twoCellAnchor>
    <xdr:from>
      <xdr:col>4</xdr:col>
      <xdr:colOff>191701</xdr:colOff>
      <xdr:row>45</xdr:row>
      <xdr:rowOff>141639</xdr:rowOff>
    </xdr:from>
    <xdr:to>
      <xdr:col>5</xdr:col>
      <xdr:colOff>628651</xdr:colOff>
      <xdr:row>46</xdr:row>
      <xdr:rowOff>123825</xdr:rowOff>
    </xdr:to>
    <xdr:cxnSp macro="">
      <xdr:nvCxnSpPr>
        <xdr:cNvPr id="26" name="Connector: Elbow 25">
          <a:extLst>
            <a:ext uri="{FF2B5EF4-FFF2-40B4-BE49-F238E27FC236}">
              <a16:creationId xmlns:a16="http://schemas.microsoft.com/office/drawing/2014/main" id="{F918F86D-0D22-4DCD-9A62-F0A2458DB38C}"/>
            </a:ext>
          </a:extLst>
        </xdr:cNvPr>
        <xdr:cNvCxnSpPr>
          <a:stCxn id="23" idx="1"/>
          <a:endCxn id="24" idx="0"/>
        </xdr:cNvCxnSpPr>
      </xdr:nvCxnSpPr>
      <xdr:spPr>
        <a:xfrm rot="10800000" flipV="1">
          <a:off x="7773601" y="10247664"/>
          <a:ext cx="1894275" cy="17268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1050149</xdr:colOff>
      <xdr:row>45</xdr:row>
      <xdr:rowOff>141639</xdr:rowOff>
    </xdr:from>
    <xdr:to>
      <xdr:col>5</xdr:col>
      <xdr:colOff>2114037</xdr:colOff>
      <xdr:row>49</xdr:row>
      <xdr:rowOff>151722</xdr:rowOff>
    </xdr:to>
    <xdr:cxnSp macro="">
      <xdr:nvCxnSpPr>
        <xdr:cNvPr id="31" name="Connector: Elbow 30">
          <a:extLst>
            <a:ext uri="{FF2B5EF4-FFF2-40B4-BE49-F238E27FC236}">
              <a16:creationId xmlns:a16="http://schemas.microsoft.com/office/drawing/2014/main" id="{F0A20581-808B-445C-AA35-E2EE74A95231}"/>
            </a:ext>
          </a:extLst>
        </xdr:cNvPr>
        <xdr:cNvCxnSpPr>
          <a:stCxn id="24" idx="3"/>
          <a:endCxn id="23" idx="3"/>
        </xdr:cNvCxnSpPr>
      </xdr:nvCxnSpPr>
      <xdr:spPr>
        <a:xfrm flipV="1">
          <a:off x="8632049" y="10247664"/>
          <a:ext cx="2521213" cy="772083"/>
        </a:xfrm>
        <a:prstGeom prst="bentConnector3">
          <a:avLst>
            <a:gd name="adj1" fmla="val 109067"/>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2563440</xdr:colOff>
      <xdr:row>52</xdr:row>
      <xdr:rowOff>179619</xdr:rowOff>
    </xdr:from>
    <xdr:to>
      <xdr:col>4</xdr:col>
      <xdr:colOff>191700</xdr:colOff>
      <xdr:row>54</xdr:row>
      <xdr:rowOff>18771</xdr:rowOff>
    </xdr:to>
    <xdr:cxnSp macro="">
      <xdr:nvCxnSpPr>
        <xdr:cNvPr id="35" name="Connector: Elbow 34">
          <a:extLst>
            <a:ext uri="{FF2B5EF4-FFF2-40B4-BE49-F238E27FC236}">
              <a16:creationId xmlns:a16="http://schemas.microsoft.com/office/drawing/2014/main" id="{AF395FDF-74C7-497C-A62F-04E3E03B2EAC}"/>
            </a:ext>
          </a:extLst>
        </xdr:cNvPr>
        <xdr:cNvCxnSpPr>
          <a:stCxn id="24" idx="2"/>
          <a:endCxn id="22" idx="0"/>
        </xdr:cNvCxnSpPr>
      </xdr:nvCxnSpPr>
      <xdr:spPr>
        <a:xfrm rot="5400000">
          <a:off x="7082507" y="11148202"/>
          <a:ext cx="220152" cy="1162035"/>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1123950</xdr:colOff>
      <xdr:row>48</xdr:row>
      <xdr:rowOff>85725</xdr:rowOff>
    </xdr:from>
    <xdr:ext cx="803297" cy="264560"/>
    <xdr:sp macro="" textlink="">
      <xdr:nvSpPr>
        <xdr:cNvPr id="36" name="TextBox 35">
          <a:extLst>
            <a:ext uri="{FF2B5EF4-FFF2-40B4-BE49-F238E27FC236}">
              <a16:creationId xmlns:a16="http://schemas.microsoft.com/office/drawing/2014/main" id="{9E702F36-8DFA-4FA9-8C23-7521BCF6CACA}"/>
            </a:ext>
          </a:extLst>
        </xdr:cNvPr>
        <xdr:cNvSpPr txBox="1"/>
      </xdr:nvSpPr>
      <xdr:spPr>
        <a:xfrm>
          <a:off x="8705850" y="10763250"/>
          <a:ext cx="80329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NO - Redo </a:t>
          </a:r>
        </a:p>
      </xdr:txBody>
    </xdr:sp>
    <xdr:clientData/>
  </xdr:oneCellAnchor>
  <xdr:oneCellAnchor>
    <xdr:from>
      <xdr:col>3</xdr:col>
      <xdr:colOff>3476625</xdr:colOff>
      <xdr:row>54</xdr:row>
      <xdr:rowOff>0</xdr:rowOff>
    </xdr:from>
    <xdr:ext cx="378758" cy="264560"/>
    <xdr:sp macro="" textlink="">
      <xdr:nvSpPr>
        <xdr:cNvPr id="37" name="TextBox 36">
          <a:extLst>
            <a:ext uri="{FF2B5EF4-FFF2-40B4-BE49-F238E27FC236}">
              <a16:creationId xmlns:a16="http://schemas.microsoft.com/office/drawing/2014/main" id="{EC061E13-45C7-4C8B-B919-3411C28DD8FB}"/>
            </a:ext>
          </a:extLst>
        </xdr:cNvPr>
        <xdr:cNvSpPr txBox="1"/>
      </xdr:nvSpPr>
      <xdr:spPr>
        <a:xfrm>
          <a:off x="7524750" y="11820525"/>
          <a:ext cx="37875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Yes</a:t>
          </a:r>
        </a:p>
      </xdr:txBody>
    </xdr:sp>
    <xdr:clientData/>
  </xdr:oneCellAnchor>
  <xdr:oneCellAnchor>
    <xdr:from>
      <xdr:col>3</xdr:col>
      <xdr:colOff>2724150</xdr:colOff>
      <xdr:row>36</xdr:row>
      <xdr:rowOff>142875</xdr:rowOff>
    </xdr:from>
    <xdr:ext cx="752385" cy="264560"/>
    <xdr:sp macro="" textlink="">
      <xdr:nvSpPr>
        <xdr:cNvPr id="38" name="TextBox 37">
          <a:extLst>
            <a:ext uri="{FF2B5EF4-FFF2-40B4-BE49-F238E27FC236}">
              <a16:creationId xmlns:a16="http://schemas.microsoft.com/office/drawing/2014/main" id="{738173B4-9F01-47D7-BBAE-ACDA94B2C964}"/>
            </a:ext>
          </a:extLst>
        </xdr:cNvPr>
        <xdr:cNvSpPr txBox="1"/>
      </xdr:nvSpPr>
      <xdr:spPr>
        <a:xfrm>
          <a:off x="6772275" y="8534400"/>
          <a:ext cx="75238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No - Redo</a:t>
          </a:r>
        </a:p>
      </xdr:txBody>
    </xdr:sp>
    <xdr:clientData/>
  </xdr:oneCellAnchor>
  <xdr:oneCellAnchor>
    <xdr:from>
      <xdr:col>4</xdr:col>
      <xdr:colOff>1190625</xdr:colOff>
      <xdr:row>41</xdr:row>
      <xdr:rowOff>142875</xdr:rowOff>
    </xdr:from>
    <xdr:ext cx="378758" cy="264560"/>
    <xdr:sp macro="" textlink="">
      <xdr:nvSpPr>
        <xdr:cNvPr id="39" name="TextBox 38">
          <a:extLst>
            <a:ext uri="{FF2B5EF4-FFF2-40B4-BE49-F238E27FC236}">
              <a16:creationId xmlns:a16="http://schemas.microsoft.com/office/drawing/2014/main" id="{341287F9-F105-48FE-9C33-98BCAC7FF632}"/>
            </a:ext>
          </a:extLst>
        </xdr:cNvPr>
        <xdr:cNvSpPr txBox="1"/>
      </xdr:nvSpPr>
      <xdr:spPr>
        <a:xfrm>
          <a:off x="8772525" y="9486900"/>
          <a:ext cx="37875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Yes</a:t>
          </a:r>
        </a:p>
      </xdr:txBody>
    </xdr:sp>
    <xdr:clientData/>
  </xdr:oneCellAnchor>
  <xdr:oneCellAnchor>
    <xdr:from>
      <xdr:col>5</xdr:col>
      <xdr:colOff>400050</xdr:colOff>
      <xdr:row>28</xdr:row>
      <xdr:rowOff>161925</xdr:rowOff>
    </xdr:from>
    <xdr:ext cx="373885" cy="264560"/>
    <xdr:sp macro="" textlink="">
      <xdr:nvSpPr>
        <xdr:cNvPr id="40" name="TextBox 39">
          <a:extLst>
            <a:ext uri="{FF2B5EF4-FFF2-40B4-BE49-F238E27FC236}">
              <a16:creationId xmlns:a16="http://schemas.microsoft.com/office/drawing/2014/main" id="{E0418D05-48F0-4B2B-B109-52B94D4EF6C1}"/>
            </a:ext>
          </a:extLst>
        </xdr:cNvPr>
        <xdr:cNvSpPr txBox="1"/>
      </xdr:nvSpPr>
      <xdr:spPr>
        <a:xfrm>
          <a:off x="9439275" y="7029450"/>
          <a:ext cx="37388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yes</a:t>
          </a: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2</xdr:col>
      <xdr:colOff>333375</xdr:colOff>
      <xdr:row>0</xdr:row>
      <xdr:rowOff>47625</xdr:rowOff>
    </xdr:from>
    <xdr:to>
      <xdr:col>8</xdr:col>
      <xdr:colOff>56911</xdr:colOff>
      <xdr:row>0</xdr:row>
      <xdr:rowOff>962025</xdr:rowOff>
    </xdr:to>
    <xdr:pic>
      <xdr:nvPicPr>
        <xdr:cNvPr id="3" name="Picture 2">
          <a:extLst>
            <a:ext uri="{FF2B5EF4-FFF2-40B4-BE49-F238E27FC236}">
              <a16:creationId xmlns:a16="http://schemas.microsoft.com/office/drawing/2014/main" id="{41077E3F-5A44-4CFD-B5DE-A8BEB58B64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19550" y="238125"/>
          <a:ext cx="3381136" cy="914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1200149</xdr:colOff>
      <xdr:row>0</xdr:row>
      <xdr:rowOff>228600</xdr:rowOff>
    </xdr:from>
    <xdr:to>
      <xdr:col>6</xdr:col>
      <xdr:colOff>68406</xdr:colOff>
      <xdr:row>0</xdr:row>
      <xdr:rowOff>914400</xdr:rowOff>
    </xdr:to>
    <xdr:pic>
      <xdr:nvPicPr>
        <xdr:cNvPr id="2" name="Picture 1">
          <a:extLst>
            <a:ext uri="{FF2B5EF4-FFF2-40B4-BE49-F238E27FC236}">
              <a16:creationId xmlns:a16="http://schemas.microsoft.com/office/drawing/2014/main" id="{62DCCAE8-56A4-48DE-BC3C-549D9F0903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05249" y="228600"/>
          <a:ext cx="2535382" cy="6858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785812</xdr:colOff>
      <xdr:row>0</xdr:row>
      <xdr:rowOff>87312</xdr:rowOff>
    </xdr:from>
    <xdr:to>
      <xdr:col>6</xdr:col>
      <xdr:colOff>753823</xdr:colOff>
      <xdr:row>0</xdr:row>
      <xdr:rowOff>1001712</xdr:rowOff>
    </xdr:to>
    <xdr:pic>
      <xdr:nvPicPr>
        <xdr:cNvPr id="2" name="Picture 1">
          <a:extLst>
            <a:ext uri="{FF2B5EF4-FFF2-40B4-BE49-F238E27FC236}">
              <a16:creationId xmlns:a16="http://schemas.microsoft.com/office/drawing/2014/main" id="{D693B936-A4CC-40C4-BBA8-58F5CCFF857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94250" y="87312"/>
          <a:ext cx="3381136" cy="9144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xdr:col>
      <xdr:colOff>785812</xdr:colOff>
      <xdr:row>0</xdr:row>
      <xdr:rowOff>87312</xdr:rowOff>
    </xdr:from>
    <xdr:to>
      <xdr:col>6</xdr:col>
      <xdr:colOff>753823</xdr:colOff>
      <xdr:row>0</xdr:row>
      <xdr:rowOff>1001712</xdr:rowOff>
    </xdr:to>
    <xdr:pic>
      <xdr:nvPicPr>
        <xdr:cNvPr id="2" name="Picture 1">
          <a:extLst>
            <a:ext uri="{FF2B5EF4-FFF2-40B4-BE49-F238E27FC236}">
              <a16:creationId xmlns:a16="http://schemas.microsoft.com/office/drawing/2014/main" id="{E1ED5DBF-BD77-4825-A6C3-02FD81DF1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95837" y="87312"/>
          <a:ext cx="3377961" cy="9144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55562</xdr:colOff>
      <xdr:row>0</xdr:row>
      <xdr:rowOff>47625</xdr:rowOff>
    </xdr:from>
    <xdr:to>
      <xdr:col>6</xdr:col>
      <xdr:colOff>2071448</xdr:colOff>
      <xdr:row>0</xdr:row>
      <xdr:rowOff>962025</xdr:rowOff>
    </xdr:to>
    <xdr:pic>
      <xdr:nvPicPr>
        <xdr:cNvPr id="2" name="Picture 1">
          <a:extLst>
            <a:ext uri="{FF2B5EF4-FFF2-40B4-BE49-F238E27FC236}">
              <a16:creationId xmlns:a16="http://schemas.microsoft.com/office/drawing/2014/main" id="{687CA0EC-98CB-44C5-A4AA-A5F23F9709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54625" y="47625"/>
          <a:ext cx="3381136" cy="9144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55562</xdr:colOff>
      <xdr:row>0</xdr:row>
      <xdr:rowOff>47625</xdr:rowOff>
    </xdr:from>
    <xdr:to>
      <xdr:col>7</xdr:col>
      <xdr:colOff>87073</xdr:colOff>
      <xdr:row>0</xdr:row>
      <xdr:rowOff>962025</xdr:rowOff>
    </xdr:to>
    <xdr:pic>
      <xdr:nvPicPr>
        <xdr:cNvPr id="2" name="Picture 1">
          <a:extLst>
            <a:ext uri="{FF2B5EF4-FFF2-40B4-BE49-F238E27FC236}">
              <a16:creationId xmlns:a16="http://schemas.microsoft.com/office/drawing/2014/main" id="{864351F8-4CA6-4160-8237-D1B260AD54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56212" y="47625"/>
          <a:ext cx="3374786" cy="9144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55562</xdr:colOff>
      <xdr:row>0</xdr:row>
      <xdr:rowOff>47625</xdr:rowOff>
    </xdr:from>
    <xdr:to>
      <xdr:col>7</xdr:col>
      <xdr:colOff>87073</xdr:colOff>
      <xdr:row>0</xdr:row>
      <xdr:rowOff>962025</xdr:rowOff>
    </xdr:to>
    <xdr:pic>
      <xdr:nvPicPr>
        <xdr:cNvPr id="2" name="Picture 1">
          <a:extLst>
            <a:ext uri="{FF2B5EF4-FFF2-40B4-BE49-F238E27FC236}">
              <a16:creationId xmlns:a16="http://schemas.microsoft.com/office/drawing/2014/main" id="{26791F07-E676-493A-BA2B-10E3DF0BF20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99187" y="47625"/>
          <a:ext cx="3374786" cy="9144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5</xdr:col>
      <xdr:colOff>55562</xdr:colOff>
      <xdr:row>0</xdr:row>
      <xdr:rowOff>47625</xdr:rowOff>
    </xdr:from>
    <xdr:to>
      <xdr:col>7</xdr:col>
      <xdr:colOff>87073</xdr:colOff>
      <xdr:row>0</xdr:row>
      <xdr:rowOff>962025</xdr:rowOff>
    </xdr:to>
    <xdr:pic>
      <xdr:nvPicPr>
        <xdr:cNvPr id="2" name="Picture 1">
          <a:extLst>
            <a:ext uri="{FF2B5EF4-FFF2-40B4-BE49-F238E27FC236}">
              <a16:creationId xmlns:a16="http://schemas.microsoft.com/office/drawing/2014/main" id="{28287662-B7FC-4CA9-8CA0-1285F760605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56212" y="47625"/>
          <a:ext cx="3374786" cy="9144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5</xdr:col>
      <xdr:colOff>55562</xdr:colOff>
      <xdr:row>0</xdr:row>
      <xdr:rowOff>47625</xdr:rowOff>
    </xdr:from>
    <xdr:to>
      <xdr:col>7</xdr:col>
      <xdr:colOff>87073</xdr:colOff>
      <xdr:row>0</xdr:row>
      <xdr:rowOff>962025</xdr:rowOff>
    </xdr:to>
    <xdr:pic>
      <xdr:nvPicPr>
        <xdr:cNvPr id="2" name="Picture 1">
          <a:extLst>
            <a:ext uri="{FF2B5EF4-FFF2-40B4-BE49-F238E27FC236}">
              <a16:creationId xmlns:a16="http://schemas.microsoft.com/office/drawing/2014/main" id="{AE455E33-2A82-4A6C-AF0D-9E1DFD5955F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27712" y="47625"/>
          <a:ext cx="3374786" cy="9144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2360613</xdr:colOff>
      <xdr:row>0</xdr:row>
      <xdr:rowOff>25400</xdr:rowOff>
    </xdr:from>
    <xdr:to>
      <xdr:col>2</xdr:col>
      <xdr:colOff>5741749</xdr:colOff>
      <xdr:row>0</xdr:row>
      <xdr:rowOff>939800</xdr:rowOff>
    </xdr:to>
    <xdr:pic>
      <xdr:nvPicPr>
        <xdr:cNvPr id="2" name="Picture 1">
          <a:extLst>
            <a:ext uri="{FF2B5EF4-FFF2-40B4-BE49-F238E27FC236}">
              <a16:creationId xmlns:a16="http://schemas.microsoft.com/office/drawing/2014/main" id="{3B39A3F4-5EE9-4130-8AA7-3A82ACA61B4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78238" y="25400"/>
          <a:ext cx="3381136" cy="9144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1257300</xdr:colOff>
      <xdr:row>0</xdr:row>
      <xdr:rowOff>133350</xdr:rowOff>
    </xdr:from>
    <xdr:to>
      <xdr:col>3</xdr:col>
      <xdr:colOff>2771536</xdr:colOff>
      <xdr:row>0</xdr:row>
      <xdr:rowOff>1047750</xdr:rowOff>
    </xdr:to>
    <xdr:pic>
      <xdr:nvPicPr>
        <xdr:cNvPr id="4" name="Picture 3">
          <a:extLst>
            <a:ext uri="{FF2B5EF4-FFF2-40B4-BE49-F238E27FC236}">
              <a16:creationId xmlns:a16="http://schemas.microsoft.com/office/drawing/2014/main" id="{5EDB8E8C-B567-4EA8-93B8-B065772000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5" y="133350"/>
          <a:ext cx="3381136" cy="9144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180975</xdr:colOff>
      <xdr:row>0</xdr:row>
      <xdr:rowOff>123825</xdr:rowOff>
    </xdr:from>
    <xdr:to>
      <xdr:col>2</xdr:col>
      <xdr:colOff>3562111</xdr:colOff>
      <xdr:row>0</xdr:row>
      <xdr:rowOff>1038225</xdr:rowOff>
    </xdr:to>
    <xdr:pic>
      <xdr:nvPicPr>
        <xdr:cNvPr id="2" name="Picture 1">
          <a:extLst>
            <a:ext uri="{FF2B5EF4-FFF2-40B4-BE49-F238E27FC236}">
              <a16:creationId xmlns:a16="http://schemas.microsoft.com/office/drawing/2014/main" id="{71EB9267-7B0C-472D-BD0C-D2811458386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05300" y="123825"/>
          <a:ext cx="3381136" cy="9144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252412</xdr:colOff>
      <xdr:row>0</xdr:row>
      <xdr:rowOff>19050</xdr:rowOff>
    </xdr:from>
    <xdr:to>
      <xdr:col>3</xdr:col>
      <xdr:colOff>261817</xdr:colOff>
      <xdr:row>0</xdr:row>
      <xdr:rowOff>476250</xdr:rowOff>
    </xdr:to>
    <xdr:pic>
      <xdr:nvPicPr>
        <xdr:cNvPr id="4" name="Picture 3">
          <a:extLst>
            <a:ext uri="{FF2B5EF4-FFF2-40B4-BE49-F238E27FC236}">
              <a16:creationId xmlns:a16="http://schemas.microsoft.com/office/drawing/2014/main" id="{A18F301C-CBA8-4350-815D-03E6437D35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00112" y="19050"/>
          <a:ext cx="1690568" cy="457200"/>
        </a:xfrm>
        <a:prstGeom prst="rect">
          <a:avLst/>
        </a:prstGeom>
      </xdr:spPr>
    </xdr:pic>
    <xdr:clientData/>
  </xdr:twoCellAnchor>
  <xdr:oneCellAnchor>
    <xdr:from>
      <xdr:col>1</xdr:col>
      <xdr:colOff>266700</xdr:colOff>
      <xdr:row>14</xdr:row>
      <xdr:rowOff>52388</xdr:rowOff>
    </xdr:from>
    <xdr:ext cx="1690568" cy="457200"/>
    <xdr:pic>
      <xdr:nvPicPr>
        <xdr:cNvPr id="5" name="Picture 4">
          <a:extLst>
            <a:ext uri="{FF2B5EF4-FFF2-40B4-BE49-F238E27FC236}">
              <a16:creationId xmlns:a16="http://schemas.microsoft.com/office/drawing/2014/main" id="{66F3223A-821B-4DB4-873A-0C94C8B9A90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538663" y="52388"/>
          <a:ext cx="1690568" cy="457200"/>
        </a:xfrm>
        <a:prstGeom prst="rect">
          <a:avLst/>
        </a:prstGeom>
      </xdr:spPr>
    </xdr:pic>
    <xdr:clientData/>
  </xdr:oneCellAnchor>
  <xdr:oneCellAnchor>
    <xdr:from>
      <xdr:col>1</xdr:col>
      <xdr:colOff>266700</xdr:colOff>
      <xdr:row>29</xdr:row>
      <xdr:rowOff>52388</xdr:rowOff>
    </xdr:from>
    <xdr:ext cx="1690568" cy="457200"/>
    <xdr:pic>
      <xdr:nvPicPr>
        <xdr:cNvPr id="6" name="Picture 5">
          <a:extLst>
            <a:ext uri="{FF2B5EF4-FFF2-40B4-BE49-F238E27FC236}">
              <a16:creationId xmlns:a16="http://schemas.microsoft.com/office/drawing/2014/main" id="{5AB0A8EE-82D4-4421-A500-3DF11B479FC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14400" y="3505201"/>
          <a:ext cx="1690568" cy="457200"/>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drive.google.com/drive/folders/0AIhNubk3Gn_SUk9PVA" TargetMode="External"/><Relationship Id="rId1" Type="http://schemas.openxmlformats.org/officeDocument/2006/relationships/hyperlink" Target="https://drive.google.com/drive/folders/0AIhNubk3Gn_SUk9PVA"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folders/0AIhNubk3Gn_SUk9PVA" TargetMode="External"/><Relationship Id="rId3" Type="http://schemas.openxmlformats.org/officeDocument/2006/relationships/hyperlink" Target="https://drive.google.com/drive/folders/0AIhNubk3Gn_SUk9PVA" TargetMode="External"/><Relationship Id="rId7" Type="http://schemas.openxmlformats.org/officeDocument/2006/relationships/hyperlink" Target="https://drive.google.com/drive/folders/0AIhNubk3Gn_SUk9PVA" TargetMode="External"/><Relationship Id="rId12" Type="http://schemas.openxmlformats.org/officeDocument/2006/relationships/drawing" Target="../drawings/drawing5.xml"/><Relationship Id="rId2" Type="http://schemas.openxmlformats.org/officeDocument/2006/relationships/hyperlink" Target="https://drive.google.com/drive/folders/0AIhNubk3Gn_SUk9PVA" TargetMode="External"/><Relationship Id="rId1" Type="http://schemas.openxmlformats.org/officeDocument/2006/relationships/hyperlink" Target="https://drive.google.com/drive/folders/0AIhNubk3Gn_SUk9PVA" TargetMode="External"/><Relationship Id="rId6" Type="http://schemas.openxmlformats.org/officeDocument/2006/relationships/hyperlink" Target="https://drive.google.com/drive/folders/0AIhNubk3Gn_SUk9PVA" TargetMode="External"/><Relationship Id="rId11" Type="http://schemas.openxmlformats.org/officeDocument/2006/relationships/hyperlink" Target="https://drive.google.com/drive/folders/0AIhNubk3Gn_SUk9PVA" TargetMode="External"/><Relationship Id="rId5" Type="http://schemas.openxmlformats.org/officeDocument/2006/relationships/hyperlink" Target="https://drive.google.com/drive/folders/0AIhNubk3Gn_SUk9PVA" TargetMode="External"/><Relationship Id="rId10" Type="http://schemas.openxmlformats.org/officeDocument/2006/relationships/hyperlink" Target="https://drive.google.com/drive/folders/0AIhNubk3Gn_SUk9PVA" TargetMode="External"/><Relationship Id="rId4" Type="http://schemas.openxmlformats.org/officeDocument/2006/relationships/hyperlink" Target="https://drive.google.com/drive/folders/0AIhNubk3Gn_SUk9PVA" TargetMode="External"/><Relationship Id="rId9" Type="http://schemas.openxmlformats.org/officeDocument/2006/relationships/hyperlink" Target="https://drive.google.com/drive/folders/0AIhNubk3Gn_SUk9PVA"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hyperlink" Target="https://drive.google.com/drive/u/1/folders/0AF-PBP_iLZkxUk9PVA" TargetMode="External"/><Relationship Id="rId13" Type="http://schemas.openxmlformats.org/officeDocument/2006/relationships/hyperlink" Target="https://drive.google.com/drive/u/1/folders/0AF-PBP_iLZkxUk9PVA" TargetMode="External"/><Relationship Id="rId18" Type="http://schemas.openxmlformats.org/officeDocument/2006/relationships/hyperlink" Target="https://drive.google.com/drive/u/3/folders/0AItIZX6uvQK4Uk9PVA" TargetMode="External"/><Relationship Id="rId3" Type="http://schemas.openxmlformats.org/officeDocument/2006/relationships/hyperlink" Target="https://drive.google.com/drive/u/1/folders/0AF-PBP_iLZkxUk9PVA" TargetMode="External"/><Relationship Id="rId21" Type="http://schemas.openxmlformats.org/officeDocument/2006/relationships/hyperlink" Target="https://drive.google.com/drive/u/1/folders/0AF-PBP_iLZkxUk9PVA" TargetMode="External"/><Relationship Id="rId7" Type="http://schemas.openxmlformats.org/officeDocument/2006/relationships/hyperlink" Target="https://drive.google.com/drive/u/1/folders/0AF-PBP_iLZkxUk9PVA" TargetMode="External"/><Relationship Id="rId12" Type="http://schemas.openxmlformats.org/officeDocument/2006/relationships/hyperlink" Target="https://drive.google.com/drive/u/1/folders/0AF-PBP_iLZkxUk9PVA" TargetMode="External"/><Relationship Id="rId17" Type="http://schemas.openxmlformats.org/officeDocument/2006/relationships/hyperlink" Target="https://drive.google.com/drive/u/3/folders/0AItIZX6uvQK4Uk9PVA" TargetMode="External"/><Relationship Id="rId2" Type="http://schemas.openxmlformats.org/officeDocument/2006/relationships/hyperlink" Target="https://drive.google.com/drive/u/3/folders/0AItIZX6uvQK4Uk9PVA" TargetMode="External"/><Relationship Id="rId16" Type="http://schemas.openxmlformats.org/officeDocument/2006/relationships/hyperlink" Target="https://drive.google.com/drive/u/3/folders/0AItIZX6uvQK4Uk9PVA" TargetMode="External"/><Relationship Id="rId20" Type="http://schemas.openxmlformats.org/officeDocument/2006/relationships/hyperlink" Target="https://drive.google.com/drive/u/1/folders/0AF-PBP_iLZkxUk9PVA" TargetMode="External"/><Relationship Id="rId1" Type="http://schemas.openxmlformats.org/officeDocument/2006/relationships/hyperlink" Target="https://drive.google.com/drive/u/3/folders/0AItIZX6uvQK4Uk9PVA" TargetMode="External"/><Relationship Id="rId6" Type="http://schemas.openxmlformats.org/officeDocument/2006/relationships/hyperlink" Target="https://drive.google.com/drive/u/1/folders/0AF-PBP_iLZkxUk9PVA" TargetMode="External"/><Relationship Id="rId11" Type="http://schemas.openxmlformats.org/officeDocument/2006/relationships/hyperlink" Target="https://drive.google.com/drive/u/1/folders/0AF-PBP_iLZkxUk9PVA" TargetMode="External"/><Relationship Id="rId24" Type="http://schemas.openxmlformats.org/officeDocument/2006/relationships/drawing" Target="../drawings/drawing10.xml"/><Relationship Id="rId5" Type="http://schemas.openxmlformats.org/officeDocument/2006/relationships/hyperlink" Target="https://drive.google.com/drive/u/1/folders/0AF-PBP_iLZkxUk9PVA" TargetMode="External"/><Relationship Id="rId15" Type="http://schemas.openxmlformats.org/officeDocument/2006/relationships/hyperlink" Target="https://drive.google.com/drive/u/1/folders/0AF-PBP_iLZkxUk9PVA" TargetMode="External"/><Relationship Id="rId23" Type="http://schemas.openxmlformats.org/officeDocument/2006/relationships/printerSettings" Target="../printerSettings/printerSettings8.bin"/><Relationship Id="rId10" Type="http://schemas.openxmlformats.org/officeDocument/2006/relationships/hyperlink" Target="https://drive.google.com/drive/u/1/folders/0AF-PBP_iLZkxUk9PVA" TargetMode="External"/><Relationship Id="rId19" Type="http://schemas.openxmlformats.org/officeDocument/2006/relationships/hyperlink" Target="https://drive.google.com/drive/u/1/folders/0AF-PBP_iLZkxUk9PVA" TargetMode="External"/><Relationship Id="rId4" Type="http://schemas.openxmlformats.org/officeDocument/2006/relationships/hyperlink" Target="https://drive.google.com/drive/u/1/folders/0AF-PBP_iLZkxUk9PVA" TargetMode="External"/><Relationship Id="rId9" Type="http://schemas.openxmlformats.org/officeDocument/2006/relationships/hyperlink" Target="https://drive.google.com/drive/u/1/folders/0AF-PBP_iLZkxUk9PVA" TargetMode="External"/><Relationship Id="rId14" Type="http://schemas.openxmlformats.org/officeDocument/2006/relationships/hyperlink" Target="https://drive.google.com/drive/u/1/folders/0AF-PBP_iLZkxUk9PVA" TargetMode="External"/><Relationship Id="rId22" Type="http://schemas.openxmlformats.org/officeDocument/2006/relationships/hyperlink" Target="https://drive.google.com/drive/u/1/folders/0AF-PBP_iLZkxUk9PV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1/folders/0AF-PBP_iLZkxUk9PVA" TargetMode="External"/><Relationship Id="rId13" Type="http://schemas.openxmlformats.org/officeDocument/2006/relationships/hyperlink" Target="https://drive.google.com/drive/u/1/folders/0AF-PBP_iLZkxUk9PVA" TargetMode="External"/><Relationship Id="rId18" Type="http://schemas.openxmlformats.org/officeDocument/2006/relationships/printerSettings" Target="../printerSettings/printerSettings9.bin"/><Relationship Id="rId3" Type="http://schemas.openxmlformats.org/officeDocument/2006/relationships/hyperlink" Target="https://drive.google.com/drive/u/1/folders/0AF-PBP_iLZkxUk9PVA" TargetMode="External"/><Relationship Id="rId7" Type="http://schemas.openxmlformats.org/officeDocument/2006/relationships/hyperlink" Target="https://drive.google.com/drive/u/1/folders/0AF-PBP_iLZkxUk9PVA" TargetMode="External"/><Relationship Id="rId12" Type="http://schemas.openxmlformats.org/officeDocument/2006/relationships/hyperlink" Target="https://drive.google.com/drive/u/1/folders/0AF-PBP_iLZkxUk9PVA" TargetMode="External"/><Relationship Id="rId17" Type="http://schemas.openxmlformats.org/officeDocument/2006/relationships/hyperlink" Target="https://drive.google.com/drive/u/1/folders/0AF-PBP_iLZkxUk9PVA" TargetMode="External"/><Relationship Id="rId2" Type="http://schemas.openxmlformats.org/officeDocument/2006/relationships/hyperlink" Target="https://drive.google.com/drive/u/3/folders/0AItIZX6uvQK4Uk9PVA" TargetMode="External"/><Relationship Id="rId16" Type="http://schemas.openxmlformats.org/officeDocument/2006/relationships/hyperlink" Target="https://drive.google.com/drive/u/1/folders/0AF-PBP_iLZkxUk9PVA" TargetMode="External"/><Relationship Id="rId1" Type="http://schemas.openxmlformats.org/officeDocument/2006/relationships/hyperlink" Target="https://drive.google.com/drive/u/3/folders/0AItIZX6uvQK4Uk9PVA" TargetMode="External"/><Relationship Id="rId6" Type="http://schemas.openxmlformats.org/officeDocument/2006/relationships/hyperlink" Target="https://drive.google.com/drive/u/1/folders/0AF-PBP_iLZkxUk9PVA" TargetMode="External"/><Relationship Id="rId11" Type="http://schemas.openxmlformats.org/officeDocument/2006/relationships/hyperlink" Target="https://drive.google.com/drive/u/1/folders/0AF-PBP_iLZkxUk9PVA" TargetMode="External"/><Relationship Id="rId5" Type="http://schemas.openxmlformats.org/officeDocument/2006/relationships/hyperlink" Target="https://drive.google.com/drive/u/1/folders/0AF-PBP_iLZkxUk9PVA" TargetMode="External"/><Relationship Id="rId15" Type="http://schemas.openxmlformats.org/officeDocument/2006/relationships/hyperlink" Target="https://drive.google.com/drive/u/1/folders/0AF-PBP_iLZkxUk9PVA" TargetMode="External"/><Relationship Id="rId10" Type="http://schemas.openxmlformats.org/officeDocument/2006/relationships/hyperlink" Target="https://drive.google.com/drive/u/1/folders/0AF-PBP_iLZkxUk9PVA" TargetMode="External"/><Relationship Id="rId19" Type="http://schemas.openxmlformats.org/officeDocument/2006/relationships/drawing" Target="../drawings/drawing11.xml"/><Relationship Id="rId4" Type="http://schemas.openxmlformats.org/officeDocument/2006/relationships/hyperlink" Target="https://drive.google.com/drive/u/1/folders/0AF-PBP_iLZkxUk9PVA" TargetMode="External"/><Relationship Id="rId9" Type="http://schemas.openxmlformats.org/officeDocument/2006/relationships/hyperlink" Target="https://drive.google.com/drive/u/1/folders/0AF-PBP_iLZkxUk9PVA" TargetMode="External"/><Relationship Id="rId14" Type="http://schemas.openxmlformats.org/officeDocument/2006/relationships/hyperlink" Target="https://drive.google.com/drive/u/1/folders/0AF-PBP_iLZkxUk9PVA"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1/folders/0AF-PBP_iLZkxUk9PVA" TargetMode="External"/><Relationship Id="rId13" Type="http://schemas.openxmlformats.org/officeDocument/2006/relationships/hyperlink" Target="https://drive.google.com/drive/u/1/folders/0AF-PBP_iLZkxUk9PVA" TargetMode="External"/><Relationship Id="rId18" Type="http://schemas.openxmlformats.org/officeDocument/2006/relationships/hyperlink" Target="https://drive.google.com/drive/u/1/folders/0AF-PBP_iLZkxUk9PVA" TargetMode="External"/><Relationship Id="rId26" Type="http://schemas.openxmlformats.org/officeDocument/2006/relationships/hyperlink" Target="https://drive.google.com/drive/u/3/folders/0AItIZX6uvQK4Uk9PVA" TargetMode="External"/><Relationship Id="rId39" Type="http://schemas.openxmlformats.org/officeDocument/2006/relationships/drawing" Target="../drawings/drawing12.xml"/><Relationship Id="rId3" Type="http://schemas.openxmlformats.org/officeDocument/2006/relationships/hyperlink" Target="https://drive.google.com/drive/folders/18HsEEUVLIZOwv8SKFM8_JAAA6g1VEt5p?usp=sharing" TargetMode="External"/><Relationship Id="rId21" Type="http://schemas.openxmlformats.org/officeDocument/2006/relationships/hyperlink" Target="https://drive.google.com/drive/u/1/folders/0AF-PBP_iLZkxUk9PVA" TargetMode="External"/><Relationship Id="rId34" Type="http://schemas.openxmlformats.org/officeDocument/2006/relationships/hyperlink" Target="https://drive.google.com/drive/u/3/folders/0AItIZX6uvQK4Uk9PVA" TargetMode="External"/><Relationship Id="rId7" Type="http://schemas.openxmlformats.org/officeDocument/2006/relationships/hyperlink" Target="https://drive.google.com/drive/u/3/folders/0AItIZX6uvQK4Uk9PVA" TargetMode="External"/><Relationship Id="rId12" Type="http://schemas.openxmlformats.org/officeDocument/2006/relationships/hyperlink" Target="https://drive.google.com/drive/u/1/folders/0AF-PBP_iLZkxUk9PVA" TargetMode="External"/><Relationship Id="rId17" Type="http://schemas.openxmlformats.org/officeDocument/2006/relationships/hyperlink" Target="https://drive.google.com/drive/u/1/folders/0AF-PBP_iLZkxUk9PVA" TargetMode="External"/><Relationship Id="rId25" Type="http://schemas.openxmlformats.org/officeDocument/2006/relationships/hyperlink" Target="https://drive.google.com/drive/u/1/folders/0AF-PBP_iLZkxUk9PVA" TargetMode="External"/><Relationship Id="rId33" Type="http://schemas.openxmlformats.org/officeDocument/2006/relationships/hyperlink" Target="https://drive.google.com/drive/u/3/folders/0AItIZX6uvQK4Uk9PVA" TargetMode="External"/><Relationship Id="rId38" Type="http://schemas.openxmlformats.org/officeDocument/2006/relationships/printerSettings" Target="../printerSettings/printerSettings10.bin"/><Relationship Id="rId2" Type="http://schemas.openxmlformats.org/officeDocument/2006/relationships/hyperlink" Target="https://drive.google.com/drive/u/1/folders/0AF-PBP_iLZkxUk9PVA" TargetMode="External"/><Relationship Id="rId16" Type="http://schemas.openxmlformats.org/officeDocument/2006/relationships/hyperlink" Target="https://drive.google.com/drive/u/1/folders/0AF-PBP_iLZkxUk9PVA" TargetMode="External"/><Relationship Id="rId20" Type="http://schemas.openxmlformats.org/officeDocument/2006/relationships/hyperlink" Target="https://drive.google.com/drive/u/1/folders/0AF-PBP_iLZkxUk9PVA" TargetMode="External"/><Relationship Id="rId29" Type="http://schemas.openxmlformats.org/officeDocument/2006/relationships/hyperlink" Target="https://drive.google.com/drive/u/1/folders/0AF-PBP_iLZkxUk9PVA" TargetMode="External"/><Relationship Id="rId1" Type="http://schemas.openxmlformats.org/officeDocument/2006/relationships/hyperlink" Target="https://drive.google.com/drive/u/1/folders/0AF-PBP_iLZkxUk9PVA" TargetMode="External"/><Relationship Id="rId6" Type="http://schemas.openxmlformats.org/officeDocument/2006/relationships/hyperlink" Target="https://drive.google.com/drive/u/3/folders/0AItIZX6uvQK4Uk9PVA" TargetMode="External"/><Relationship Id="rId11" Type="http://schemas.openxmlformats.org/officeDocument/2006/relationships/hyperlink" Target="https://drive.google.com/drive/u/1/folders/0AF-PBP_iLZkxUk9PVA" TargetMode="External"/><Relationship Id="rId24" Type="http://schemas.openxmlformats.org/officeDocument/2006/relationships/hyperlink" Target="https://drive.google.com/drive/u/1/folders/0AF-PBP_iLZkxUk9PVA" TargetMode="External"/><Relationship Id="rId32" Type="http://schemas.openxmlformats.org/officeDocument/2006/relationships/hyperlink" Target="https://drive.google.com/drive/u/3/folders/0AItIZX6uvQK4Uk9PVA" TargetMode="External"/><Relationship Id="rId37" Type="http://schemas.openxmlformats.org/officeDocument/2006/relationships/hyperlink" Target="https://drive.google.com/drive/u/1/folders/0AF-PBP_iLZkxUk9PVA" TargetMode="External"/><Relationship Id="rId5" Type="http://schemas.openxmlformats.org/officeDocument/2006/relationships/hyperlink" Target="https://drive.google.com/drive/u/3/folders/0AItIZX6uvQK4Uk9PVA" TargetMode="External"/><Relationship Id="rId15" Type="http://schemas.openxmlformats.org/officeDocument/2006/relationships/hyperlink" Target="https://drive.google.com/drive/u/1/folders/0AF-PBP_iLZkxUk9PVA" TargetMode="External"/><Relationship Id="rId23" Type="http://schemas.openxmlformats.org/officeDocument/2006/relationships/hyperlink" Target="https://drive.google.com/drive/u/3/folders/0AItIZX6uvQK4Uk9PVA" TargetMode="External"/><Relationship Id="rId28" Type="http://schemas.openxmlformats.org/officeDocument/2006/relationships/hyperlink" Target="https://drive.google.com/drive/u/1/folders/0AF-PBP_iLZkxUk9PVA" TargetMode="External"/><Relationship Id="rId36" Type="http://schemas.openxmlformats.org/officeDocument/2006/relationships/hyperlink" Target="https://drive.google.com/drive/u/3/folders/0AItIZX6uvQK4Uk9PVA" TargetMode="External"/><Relationship Id="rId10" Type="http://schemas.openxmlformats.org/officeDocument/2006/relationships/hyperlink" Target="https://drive.google.com/drive/u/1/folders/0AF-PBP_iLZkxUk9PVA" TargetMode="External"/><Relationship Id="rId19" Type="http://schemas.openxmlformats.org/officeDocument/2006/relationships/hyperlink" Target="https://drive.google.com/drive/u/1/folders/0AF-PBP_iLZkxUk9PVA" TargetMode="External"/><Relationship Id="rId31" Type="http://schemas.openxmlformats.org/officeDocument/2006/relationships/hyperlink" Target="https://drive.google.com/drive/u/1/folders/0AF-PBP_iLZkxUk9PVA" TargetMode="External"/><Relationship Id="rId4" Type="http://schemas.openxmlformats.org/officeDocument/2006/relationships/hyperlink" Target="https://drive.google.com/drive/u/1/folders/0AF-PBP_iLZkxUk9PVA" TargetMode="External"/><Relationship Id="rId9" Type="http://schemas.openxmlformats.org/officeDocument/2006/relationships/hyperlink" Target="https://drive.google.com/drive/u/1/folders/0AF-PBP_iLZkxUk9PVA" TargetMode="External"/><Relationship Id="rId14" Type="http://schemas.openxmlformats.org/officeDocument/2006/relationships/hyperlink" Target="https://drive.google.com/drive/u/1/folders/0AF-PBP_iLZkxUk9PVA" TargetMode="External"/><Relationship Id="rId22" Type="http://schemas.openxmlformats.org/officeDocument/2006/relationships/hyperlink" Target="https://drive.google.com/drive/u/3/folders/0AItIZX6uvQK4Uk9PVA" TargetMode="External"/><Relationship Id="rId27" Type="http://schemas.openxmlformats.org/officeDocument/2006/relationships/hyperlink" Target="https://drive.google.com/drive/u/1/folders/0AF-PBP_iLZkxUk9PVA" TargetMode="External"/><Relationship Id="rId30" Type="http://schemas.openxmlformats.org/officeDocument/2006/relationships/hyperlink" Target="https://drive.google.com/drive/u/1/folders/0AF-PBP_iLZkxUk9PVA" TargetMode="External"/><Relationship Id="rId35" Type="http://schemas.openxmlformats.org/officeDocument/2006/relationships/hyperlink" Target="https://drive.google.com/drive/u/3/folders/0AItIZX6uvQK4Uk9PVA"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drive/u/1/folders/0AF-PBP_iLZkxUk9PVA" TargetMode="External"/><Relationship Id="rId13" Type="http://schemas.openxmlformats.org/officeDocument/2006/relationships/hyperlink" Target="https://drive.google.com/drive/u/3/folders/0AItIZX6uvQK4Uk9PVA" TargetMode="External"/><Relationship Id="rId18" Type="http://schemas.openxmlformats.org/officeDocument/2006/relationships/hyperlink" Target="https://drive.google.com/drive/u/1/folders/0AF-PBP_iLZkxUk9PVA" TargetMode="External"/><Relationship Id="rId3" Type="http://schemas.openxmlformats.org/officeDocument/2006/relationships/hyperlink" Target="https://drive.google.com/drive/folders/18HsEEUVLIZOwv8SKFM8_JAAA6g1VEt5p?usp=sharing" TargetMode="External"/><Relationship Id="rId21" Type="http://schemas.openxmlformats.org/officeDocument/2006/relationships/printerSettings" Target="../printerSettings/printerSettings11.bin"/><Relationship Id="rId7" Type="http://schemas.openxmlformats.org/officeDocument/2006/relationships/hyperlink" Target="https://drive.google.com/drive/u/1/folders/0AF-PBP_iLZkxUk9PVA" TargetMode="External"/><Relationship Id="rId12" Type="http://schemas.openxmlformats.org/officeDocument/2006/relationships/hyperlink" Target="https://drive.google.com/drive/u/1/folders/0AF-PBP_iLZkxUk9PVA" TargetMode="External"/><Relationship Id="rId17" Type="http://schemas.openxmlformats.org/officeDocument/2006/relationships/hyperlink" Target="https://drive.google.com/drive/u/1/folders/0AF-PBP_iLZkxUk9PVA" TargetMode="External"/><Relationship Id="rId2" Type="http://schemas.openxmlformats.org/officeDocument/2006/relationships/hyperlink" Target="https://drive.google.com/drive/u/1/folders/0AF-PBP_iLZkxUk9PVA" TargetMode="External"/><Relationship Id="rId16" Type="http://schemas.openxmlformats.org/officeDocument/2006/relationships/hyperlink" Target="https://drive.google.com/drive/u/1/folders/0AF-PBP_iLZkxUk9PVA" TargetMode="External"/><Relationship Id="rId20" Type="http://schemas.openxmlformats.org/officeDocument/2006/relationships/hyperlink" Target="https://drive.google.com/drive/u/1/folders/0AF-PBP_iLZkxUk9PVA" TargetMode="External"/><Relationship Id="rId1" Type="http://schemas.openxmlformats.org/officeDocument/2006/relationships/hyperlink" Target="https://drive.google.com/drive/u/1/folders/0AF-PBP_iLZkxUk9PVA" TargetMode="External"/><Relationship Id="rId6" Type="http://schemas.openxmlformats.org/officeDocument/2006/relationships/hyperlink" Target="https://drive.google.com/drive/u/1/folders/0AF-PBP_iLZkxUk9PVA" TargetMode="External"/><Relationship Id="rId11" Type="http://schemas.openxmlformats.org/officeDocument/2006/relationships/hyperlink" Target="https://drive.google.com/drive/u/1/folders/0AF-PBP_iLZkxUk9PVA" TargetMode="External"/><Relationship Id="rId5" Type="http://schemas.openxmlformats.org/officeDocument/2006/relationships/hyperlink" Target="https://drive.google.com/drive/u/3/folders/0AItIZX6uvQK4Uk9PVA" TargetMode="External"/><Relationship Id="rId15" Type="http://schemas.openxmlformats.org/officeDocument/2006/relationships/hyperlink" Target="https://drive.google.com/drive/u/1/folders/0AF-PBP_iLZkxUk9PVA" TargetMode="External"/><Relationship Id="rId10" Type="http://schemas.openxmlformats.org/officeDocument/2006/relationships/hyperlink" Target="https://drive.google.com/drive/u/1/folders/0AF-PBP_iLZkxUk9PVA" TargetMode="External"/><Relationship Id="rId19" Type="http://schemas.openxmlformats.org/officeDocument/2006/relationships/hyperlink" Target="https://drive.google.com/drive/u/1/folders/0AF-PBP_iLZkxUk9PVA" TargetMode="External"/><Relationship Id="rId4" Type="http://schemas.openxmlformats.org/officeDocument/2006/relationships/hyperlink" Target="https://drive.google.com/drive/u/3/folders/0AItIZX6uvQK4Uk9PVA" TargetMode="External"/><Relationship Id="rId9" Type="http://schemas.openxmlformats.org/officeDocument/2006/relationships/hyperlink" Target="https://drive.google.com/drive/u/1/folders/0AF-PBP_iLZkxUk9PVA" TargetMode="External"/><Relationship Id="rId14" Type="http://schemas.openxmlformats.org/officeDocument/2006/relationships/hyperlink" Target="https://drive.google.com/drive/u/3/folders/0AItIZX6uvQK4Uk9PVA" TargetMode="External"/><Relationship Id="rId22"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8" Type="http://schemas.openxmlformats.org/officeDocument/2006/relationships/hyperlink" Target="https://drive.google.com/drive/u/1/folders/0AF-PBP_iLZkxUk9PVA" TargetMode="External"/><Relationship Id="rId13" Type="http://schemas.openxmlformats.org/officeDocument/2006/relationships/hyperlink" Target="https://drive.google.com/drive/u/3/folders/0AItIZX6uvQK4Uk9PVA" TargetMode="External"/><Relationship Id="rId18" Type="http://schemas.openxmlformats.org/officeDocument/2006/relationships/hyperlink" Target="https://drive.google.com/drive/u/1/folders/0AF-PBP_iLZkxUk9PVA" TargetMode="External"/><Relationship Id="rId3" Type="http://schemas.openxmlformats.org/officeDocument/2006/relationships/hyperlink" Target="https://drive.google.com/drive/folders/18HsEEUVLIZOwv8SKFM8_JAAA6g1VEt5p?usp=sharing" TargetMode="External"/><Relationship Id="rId21" Type="http://schemas.openxmlformats.org/officeDocument/2006/relationships/printerSettings" Target="../printerSettings/printerSettings12.bin"/><Relationship Id="rId7" Type="http://schemas.openxmlformats.org/officeDocument/2006/relationships/hyperlink" Target="https://drive.google.com/drive/u/1/folders/0AF-PBP_iLZkxUk9PVA" TargetMode="External"/><Relationship Id="rId12" Type="http://schemas.openxmlformats.org/officeDocument/2006/relationships/hyperlink" Target="https://drive.google.com/drive/u/1/folders/0AF-PBP_iLZkxUk9PVA" TargetMode="External"/><Relationship Id="rId17" Type="http://schemas.openxmlformats.org/officeDocument/2006/relationships/hyperlink" Target="https://drive.google.com/drive/u/1/folders/0AF-PBP_iLZkxUk9PVA" TargetMode="External"/><Relationship Id="rId2" Type="http://schemas.openxmlformats.org/officeDocument/2006/relationships/hyperlink" Target="https://drive.google.com/drive/u/1/folders/0AF-PBP_iLZkxUk9PVA" TargetMode="External"/><Relationship Id="rId16" Type="http://schemas.openxmlformats.org/officeDocument/2006/relationships/hyperlink" Target="https://drive.google.com/drive/u/1/folders/0AF-PBP_iLZkxUk9PVA" TargetMode="External"/><Relationship Id="rId20" Type="http://schemas.openxmlformats.org/officeDocument/2006/relationships/hyperlink" Target="https://drive.google.com/drive/u/3/folders/0AItIZX6uvQK4Uk9PVA" TargetMode="External"/><Relationship Id="rId1" Type="http://schemas.openxmlformats.org/officeDocument/2006/relationships/hyperlink" Target="https://drive.google.com/drive/u/1/folders/0AF-PBP_iLZkxUk9PVA" TargetMode="External"/><Relationship Id="rId6" Type="http://schemas.openxmlformats.org/officeDocument/2006/relationships/hyperlink" Target="https://drive.google.com/drive/u/1/folders/0AF-PBP_iLZkxUk9PVA" TargetMode="External"/><Relationship Id="rId11" Type="http://schemas.openxmlformats.org/officeDocument/2006/relationships/hyperlink" Target="https://drive.google.com/drive/u/1/folders/0AF-PBP_iLZkxUk9PVA" TargetMode="External"/><Relationship Id="rId5" Type="http://schemas.openxmlformats.org/officeDocument/2006/relationships/hyperlink" Target="https://drive.google.com/drive/u/3/folders/0AItIZX6uvQK4Uk9PVA" TargetMode="External"/><Relationship Id="rId15" Type="http://schemas.openxmlformats.org/officeDocument/2006/relationships/hyperlink" Target="https://drive.google.com/drive/u/1/folders/0AF-PBP_iLZkxUk9PVA" TargetMode="External"/><Relationship Id="rId10" Type="http://schemas.openxmlformats.org/officeDocument/2006/relationships/hyperlink" Target="https://drive.google.com/drive/u/1/folders/0AF-PBP_iLZkxUk9PVA" TargetMode="External"/><Relationship Id="rId19" Type="http://schemas.openxmlformats.org/officeDocument/2006/relationships/hyperlink" Target="https://drive.google.com/drive/u/3/folders/0AItIZX6uvQK4Uk9PVA" TargetMode="External"/><Relationship Id="rId4" Type="http://schemas.openxmlformats.org/officeDocument/2006/relationships/hyperlink" Target="https://drive.google.com/drive/u/3/folders/0AItIZX6uvQK4Uk9PVA" TargetMode="External"/><Relationship Id="rId9" Type="http://schemas.openxmlformats.org/officeDocument/2006/relationships/hyperlink" Target="https://drive.google.com/drive/u/1/folders/0AF-PBP_iLZkxUk9PVA" TargetMode="External"/><Relationship Id="rId14" Type="http://schemas.openxmlformats.org/officeDocument/2006/relationships/hyperlink" Target="https://drive.google.com/drive/u/3/folders/0AItIZX6uvQK4Uk9PVA" TargetMode="External"/><Relationship Id="rId22"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s://drive.google.com/drive/u/1/folders/0AF-PBP_iLZkxUk9PVA" TargetMode="External"/><Relationship Id="rId13" Type="http://schemas.openxmlformats.org/officeDocument/2006/relationships/hyperlink" Target="https://drive.google.com/drive/u/1/folders/0AF-PBP_iLZkxUk9PVA" TargetMode="External"/><Relationship Id="rId18" Type="http://schemas.openxmlformats.org/officeDocument/2006/relationships/hyperlink" Target="https://drive.google.com/drive/u/1/folders/0AF-PBP_iLZkxUk9PVA" TargetMode="External"/><Relationship Id="rId26" Type="http://schemas.openxmlformats.org/officeDocument/2006/relationships/hyperlink" Target="https://drive.google.com/drive/u/1/folders/0AF-PBP_iLZkxUk9PVA" TargetMode="External"/><Relationship Id="rId3" Type="http://schemas.openxmlformats.org/officeDocument/2006/relationships/hyperlink" Target="https://drive.google.com/drive/u/1/folders/0AF-PBP_iLZkxUk9PVA" TargetMode="External"/><Relationship Id="rId21" Type="http://schemas.openxmlformats.org/officeDocument/2006/relationships/hyperlink" Target="https://drive.google.com/drive/u/1/folders/0AF-PBP_iLZkxUk9PVA" TargetMode="External"/><Relationship Id="rId7" Type="http://schemas.openxmlformats.org/officeDocument/2006/relationships/hyperlink" Target="https://drive.google.com/drive/u/3/folders/0AItIZX6uvQK4Uk9PVA" TargetMode="External"/><Relationship Id="rId12" Type="http://schemas.openxmlformats.org/officeDocument/2006/relationships/hyperlink" Target="https://drive.google.com/drive/u/1/folders/0AF-PBP_iLZkxUk9PVA" TargetMode="External"/><Relationship Id="rId17" Type="http://schemas.openxmlformats.org/officeDocument/2006/relationships/hyperlink" Target="https://drive.google.com/drive/u/3/folders/0AItIZX6uvQK4Uk9PVA" TargetMode="External"/><Relationship Id="rId25" Type="http://schemas.openxmlformats.org/officeDocument/2006/relationships/hyperlink" Target="https://drive.google.com/drive/u/1/folders/0AF-PBP_iLZkxUk9PVA" TargetMode="External"/><Relationship Id="rId2" Type="http://schemas.openxmlformats.org/officeDocument/2006/relationships/hyperlink" Target="https://drive.google.com/drive/u/1/folders/0AF-PBP_iLZkxUk9PVA" TargetMode="External"/><Relationship Id="rId16" Type="http://schemas.openxmlformats.org/officeDocument/2006/relationships/hyperlink" Target="https://drive.google.com/drive/u/3/folders/0AItIZX6uvQK4Uk9PVA" TargetMode="External"/><Relationship Id="rId20" Type="http://schemas.openxmlformats.org/officeDocument/2006/relationships/hyperlink" Target="https://drive.google.com/drive/u/1/folders/0AF-PBP_iLZkxUk9PVA" TargetMode="External"/><Relationship Id="rId1" Type="http://schemas.openxmlformats.org/officeDocument/2006/relationships/hyperlink" Target="https://drive.google.com/drive/folders/18HsEEUVLIZOwv8SKFM8_JAAA6g1VEt5p?usp=sharing" TargetMode="External"/><Relationship Id="rId6" Type="http://schemas.openxmlformats.org/officeDocument/2006/relationships/hyperlink" Target="https://drive.google.com/drive/u/3/folders/0AItIZX6uvQK4Uk9PVA" TargetMode="External"/><Relationship Id="rId11" Type="http://schemas.openxmlformats.org/officeDocument/2006/relationships/hyperlink" Target="https://drive.google.com/drive/u/1/folders/0AF-PBP_iLZkxUk9PVA" TargetMode="External"/><Relationship Id="rId24" Type="http://schemas.openxmlformats.org/officeDocument/2006/relationships/hyperlink" Target="https://drive.google.com/drive/u/1/folders/0AF-PBP_iLZkxUk9PVA" TargetMode="External"/><Relationship Id="rId5" Type="http://schemas.openxmlformats.org/officeDocument/2006/relationships/hyperlink" Target="https://drive.google.com/drive/folders/18HsEEUVLIZOwv8SKFM8_JAAA6g1VEt5p?usp=sharing" TargetMode="External"/><Relationship Id="rId15" Type="http://schemas.openxmlformats.org/officeDocument/2006/relationships/hyperlink" Target="https://drive.google.com/drive/u/1/folders/0AF-PBP_iLZkxUk9PVA" TargetMode="External"/><Relationship Id="rId23" Type="http://schemas.openxmlformats.org/officeDocument/2006/relationships/hyperlink" Target="https://drive.google.com/drive/u/1/folders/0AF-PBP_iLZkxUk9PVA" TargetMode="External"/><Relationship Id="rId28" Type="http://schemas.openxmlformats.org/officeDocument/2006/relationships/drawing" Target="../drawings/drawing15.xml"/><Relationship Id="rId10" Type="http://schemas.openxmlformats.org/officeDocument/2006/relationships/hyperlink" Target="https://drive.google.com/drive/u/1/folders/0AF-PBP_iLZkxUk9PVA" TargetMode="External"/><Relationship Id="rId19" Type="http://schemas.openxmlformats.org/officeDocument/2006/relationships/hyperlink" Target="https://drive.google.com/drive/u/1/folders/0AF-PBP_iLZkxUk9PVA" TargetMode="External"/><Relationship Id="rId4" Type="http://schemas.openxmlformats.org/officeDocument/2006/relationships/hyperlink" Target="https://drive.google.com/drive/u/1/folders/0AF-PBP_iLZkxUk9PVA" TargetMode="External"/><Relationship Id="rId9" Type="http://schemas.openxmlformats.org/officeDocument/2006/relationships/hyperlink" Target="https://drive.google.com/drive/u/1/folders/0AF-PBP_iLZkxUk9PVA" TargetMode="External"/><Relationship Id="rId14" Type="http://schemas.openxmlformats.org/officeDocument/2006/relationships/hyperlink" Target="https://drive.google.com/drive/u/1/folders/0AF-PBP_iLZkxUk9PVA" TargetMode="External"/><Relationship Id="rId22" Type="http://schemas.openxmlformats.org/officeDocument/2006/relationships/hyperlink" Target="https://drive.google.com/drive/u/1/folders/0AF-PBP_iLZkxUk9PVA" TargetMode="External"/><Relationship Id="rId27"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8" Type="http://schemas.openxmlformats.org/officeDocument/2006/relationships/hyperlink" Target="https://drive.google.com/drive/u/1/folders/0AF-PBP_iLZkxUk9PVA" TargetMode="External"/><Relationship Id="rId13" Type="http://schemas.openxmlformats.org/officeDocument/2006/relationships/hyperlink" Target="https://drive.google.com/drive/u/1/folders/0AF-PBP_iLZkxUk9PVA" TargetMode="External"/><Relationship Id="rId18" Type="http://schemas.openxmlformats.org/officeDocument/2006/relationships/hyperlink" Target="https://drive.google.com/drive/u/1/folders/0AF-PBP_iLZkxUk9PVA" TargetMode="External"/><Relationship Id="rId3" Type="http://schemas.openxmlformats.org/officeDocument/2006/relationships/hyperlink" Target="https://drive.google.com/drive/u/1/folders/0AF-PBP_iLZkxUk9PVA" TargetMode="External"/><Relationship Id="rId21" Type="http://schemas.openxmlformats.org/officeDocument/2006/relationships/hyperlink" Target="https://drive.google.com/drive/u/1/folders/0AF-PBP_iLZkxUk9PVA" TargetMode="External"/><Relationship Id="rId7" Type="http://schemas.openxmlformats.org/officeDocument/2006/relationships/hyperlink" Target="https://drive.google.com/drive/u/1/folders/0AF-PBP_iLZkxUk9PVA" TargetMode="External"/><Relationship Id="rId12" Type="http://schemas.openxmlformats.org/officeDocument/2006/relationships/hyperlink" Target="https://drive.google.com/drive/u/1/folders/0AF-PBP_iLZkxUk9PVA" TargetMode="External"/><Relationship Id="rId17" Type="http://schemas.openxmlformats.org/officeDocument/2006/relationships/hyperlink" Target="https://drive.google.com/drive/u/1/folders/0AF-PBP_iLZkxUk9PVA" TargetMode="External"/><Relationship Id="rId25" Type="http://schemas.openxmlformats.org/officeDocument/2006/relationships/drawing" Target="../drawings/drawing16.xml"/><Relationship Id="rId2" Type="http://schemas.openxmlformats.org/officeDocument/2006/relationships/hyperlink" Target="https://drive.google.com/drive/u/1/folders/0AF-PBP_iLZkxUk9PVA" TargetMode="External"/><Relationship Id="rId16" Type="http://schemas.openxmlformats.org/officeDocument/2006/relationships/hyperlink" Target="https://drive.google.com/drive/u/1/folders/0AF-PBP_iLZkxUk9PVA" TargetMode="External"/><Relationship Id="rId20" Type="http://schemas.openxmlformats.org/officeDocument/2006/relationships/hyperlink" Target="https://drive.google.com/drive/u/1/folders/0AF-PBP_iLZkxUk9PVA" TargetMode="External"/><Relationship Id="rId1" Type="http://schemas.openxmlformats.org/officeDocument/2006/relationships/hyperlink" Target="https://drive.google.com/drive/folders/18HsEEUVLIZOwv8SKFM8_JAAA6g1VEt5p?usp=sharing" TargetMode="External"/><Relationship Id="rId6" Type="http://schemas.openxmlformats.org/officeDocument/2006/relationships/hyperlink" Target="https://drive.google.com/drive/u/3/folders/0AItIZX6uvQK4Uk9PVA" TargetMode="External"/><Relationship Id="rId11" Type="http://schemas.openxmlformats.org/officeDocument/2006/relationships/hyperlink" Target="https://drive.google.com/drive/u/1/folders/0AF-PBP_iLZkxUk9PVA" TargetMode="External"/><Relationship Id="rId24" Type="http://schemas.openxmlformats.org/officeDocument/2006/relationships/printerSettings" Target="../printerSettings/printerSettings14.bin"/><Relationship Id="rId5" Type="http://schemas.openxmlformats.org/officeDocument/2006/relationships/hyperlink" Target="https://drive.google.com/drive/folders/18HsEEUVLIZOwv8SKFM8_JAAA6g1VEt5p?usp=sharing" TargetMode="External"/><Relationship Id="rId15" Type="http://schemas.openxmlformats.org/officeDocument/2006/relationships/hyperlink" Target="https://drive.google.com/drive/u/1/folders/0AF-PBP_iLZkxUk9PVA" TargetMode="External"/><Relationship Id="rId23" Type="http://schemas.openxmlformats.org/officeDocument/2006/relationships/hyperlink" Target="https://drive.google.com/drive/u/1/folders/0AF-PBP_iLZkxUk9PVA" TargetMode="External"/><Relationship Id="rId10" Type="http://schemas.openxmlformats.org/officeDocument/2006/relationships/hyperlink" Target="https://drive.google.com/drive/u/1/folders/0AF-PBP_iLZkxUk9PVA" TargetMode="External"/><Relationship Id="rId19" Type="http://schemas.openxmlformats.org/officeDocument/2006/relationships/hyperlink" Target="https://drive.google.com/drive/u/1/folders/0AF-PBP_iLZkxUk9PVA" TargetMode="External"/><Relationship Id="rId4" Type="http://schemas.openxmlformats.org/officeDocument/2006/relationships/hyperlink" Target="https://drive.google.com/drive/u/1/folders/0AF-PBP_iLZkxUk9PVA" TargetMode="External"/><Relationship Id="rId9" Type="http://schemas.openxmlformats.org/officeDocument/2006/relationships/hyperlink" Target="https://drive.google.com/drive/u/1/folders/0AF-PBP_iLZkxUk9PVA" TargetMode="External"/><Relationship Id="rId14" Type="http://schemas.openxmlformats.org/officeDocument/2006/relationships/hyperlink" Target="https://drive.google.com/drive/u/1/folders/0AF-PBP_iLZkxUk9PVA" TargetMode="External"/><Relationship Id="rId22" Type="http://schemas.openxmlformats.org/officeDocument/2006/relationships/hyperlink" Target="https://drive.google.com/drive/u/1/folders/0AF-PBP_iLZkxUk9PVA"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pageSetUpPr fitToPage="1"/>
  </sheetPr>
  <dimension ref="B1:I12"/>
  <sheetViews>
    <sheetView showGridLines="0" zoomScale="120" zoomScaleNormal="120" workbookViewId="0">
      <selection activeCell="C16" sqref="C16"/>
    </sheetView>
  </sheetViews>
  <sheetFormatPr defaultRowHeight="15"/>
  <cols>
    <col min="2" max="2" width="12.140625" style="5" customWidth="1"/>
    <col min="3" max="3" width="19.140625" style="6" customWidth="1"/>
    <col min="4" max="4" width="61.85546875" style="2" customWidth="1"/>
    <col min="5" max="5" width="16.85546875" style="2" customWidth="1"/>
    <col min="6" max="6" width="16.5703125" style="2" customWidth="1"/>
    <col min="7" max="7" width="12.7109375" style="7" bestFit="1" customWidth="1"/>
    <col min="8" max="8" width="10.28515625" bestFit="1" customWidth="1"/>
    <col min="9" max="9" width="13.85546875" style="1" bestFit="1" customWidth="1"/>
  </cols>
  <sheetData>
    <row r="1" spans="2:9" ht="78" customHeight="1" thickBot="1">
      <c r="B1" s="354"/>
      <c r="C1" s="354"/>
      <c r="D1" s="354"/>
      <c r="E1" s="354"/>
      <c r="F1" s="354"/>
      <c r="G1" s="354"/>
    </row>
    <row r="2" spans="2:9" ht="40.5" customHeight="1" thickBot="1">
      <c r="B2" s="355" t="s">
        <v>0</v>
      </c>
      <c r="C2" s="356"/>
      <c r="D2" s="356"/>
      <c r="E2" s="357"/>
      <c r="F2" s="357"/>
      <c r="G2" s="358"/>
    </row>
    <row r="3" spans="2:9" ht="18" customHeight="1">
      <c r="B3" s="303" t="s">
        <v>1</v>
      </c>
      <c r="C3" s="297"/>
      <c r="D3" s="361"/>
      <c r="E3" s="184" t="s">
        <v>351</v>
      </c>
      <c r="F3" s="300">
        <v>42184</v>
      </c>
      <c r="G3" s="302" t="s">
        <v>170</v>
      </c>
    </row>
    <row r="4" spans="2:9" ht="18" customHeight="1">
      <c r="B4" s="304" t="s">
        <v>3</v>
      </c>
      <c r="C4" s="298" t="s">
        <v>4</v>
      </c>
      <c r="D4" s="362"/>
      <c r="E4" s="185"/>
      <c r="F4" s="301"/>
      <c r="G4" s="363">
        <v>43767</v>
      </c>
    </row>
    <row r="5" spans="2:9" ht="18" customHeight="1" thickBot="1">
      <c r="B5" s="305" t="s">
        <v>72</v>
      </c>
      <c r="C5" s="299"/>
      <c r="D5" s="362"/>
      <c r="E5" s="186" t="s">
        <v>5</v>
      </c>
      <c r="F5" s="300">
        <v>43766</v>
      </c>
      <c r="G5" s="364"/>
    </row>
    <row r="6" spans="2:9" ht="16.899999999999999" customHeight="1" thickBot="1">
      <c r="B6" s="309" t="s">
        <v>2</v>
      </c>
      <c r="C6" s="310">
        <v>42353</v>
      </c>
      <c r="D6" s="362"/>
      <c r="E6" s="359" t="s">
        <v>6</v>
      </c>
      <c r="F6" s="359"/>
      <c r="G6" s="360"/>
    </row>
    <row r="7" spans="2:9" ht="27" customHeight="1">
      <c r="B7" s="367" t="s">
        <v>615</v>
      </c>
      <c r="C7" s="368"/>
      <c r="D7" s="369"/>
      <c r="E7" s="370" t="s">
        <v>8</v>
      </c>
      <c r="F7" s="370"/>
      <c r="G7" s="371"/>
    </row>
    <row r="8" spans="2:9" ht="18" customHeight="1">
      <c r="B8" s="372" t="s">
        <v>7</v>
      </c>
      <c r="C8" s="373"/>
      <c r="D8" s="374"/>
      <c r="E8" s="370" t="s">
        <v>10</v>
      </c>
      <c r="F8" s="370"/>
      <c r="G8" s="371"/>
    </row>
    <row r="9" spans="2:9" ht="18" customHeight="1">
      <c r="B9" s="372" t="s">
        <v>9</v>
      </c>
      <c r="C9" s="373"/>
      <c r="D9" s="374"/>
      <c r="E9" s="306" t="s">
        <v>11</v>
      </c>
      <c r="F9" s="306"/>
      <c r="G9" s="307"/>
    </row>
    <row r="10" spans="2:9" ht="19.5" customHeight="1">
      <c r="B10" s="372" t="s">
        <v>352</v>
      </c>
      <c r="C10" s="373"/>
      <c r="D10" s="374"/>
      <c r="E10" s="375" t="s">
        <v>13</v>
      </c>
      <c r="F10" s="375"/>
      <c r="G10" s="376"/>
    </row>
    <row r="11" spans="2:9" ht="19.5" customHeight="1" thickBot="1">
      <c r="B11" s="308" t="s">
        <v>12</v>
      </c>
      <c r="C11" s="311" t="s">
        <v>14</v>
      </c>
      <c r="D11" s="311"/>
      <c r="E11" s="365" t="s">
        <v>15</v>
      </c>
      <c r="F11" s="365"/>
      <c r="G11" s="366"/>
    </row>
    <row r="12" spans="2:9" s="3" customFormat="1" ht="33" customHeight="1" thickBot="1">
      <c r="B12" s="312" t="s">
        <v>16</v>
      </c>
      <c r="C12" s="313" t="s">
        <v>17</v>
      </c>
      <c r="D12" s="314" t="s">
        <v>18</v>
      </c>
      <c r="E12" s="315" t="s">
        <v>19</v>
      </c>
      <c r="F12" s="316" t="s">
        <v>20</v>
      </c>
      <c r="G12" s="317" t="s">
        <v>21</v>
      </c>
      <c r="I12" s="4"/>
    </row>
  </sheetData>
  <mergeCells count="13">
    <mergeCell ref="E11:G11"/>
    <mergeCell ref="B7:D7"/>
    <mergeCell ref="E7:G7"/>
    <mergeCell ref="B8:D8"/>
    <mergeCell ref="E8:G8"/>
    <mergeCell ref="B9:D9"/>
    <mergeCell ref="B10:D10"/>
    <mergeCell ref="E10:G10"/>
    <mergeCell ref="B1:G1"/>
    <mergeCell ref="B2:G2"/>
    <mergeCell ref="E6:G6"/>
    <mergeCell ref="D3:D6"/>
    <mergeCell ref="G4:G5"/>
  </mergeCells>
  <pageMargins left="0.70866141732283472" right="0.70866141732283472" top="0" bottom="0" header="0" footer="0"/>
  <pageSetup paperSize="9" scale="65"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6621F-7A79-450B-BF70-FABD49DB09AB}">
  <sheetPr codeName="Sheet88">
    <pageSetUpPr fitToPage="1"/>
  </sheetPr>
  <dimension ref="A1:D37"/>
  <sheetViews>
    <sheetView zoomScale="80" zoomScaleNormal="80" workbookViewId="0">
      <selection activeCell="C9" sqref="C9"/>
    </sheetView>
  </sheetViews>
  <sheetFormatPr defaultRowHeight="21"/>
  <cols>
    <col min="2" max="2" width="28.140625" style="69" bestFit="1" customWidth="1"/>
    <col min="3" max="3" width="100" customWidth="1"/>
    <col min="4" max="4" width="16.42578125" customWidth="1"/>
  </cols>
  <sheetData>
    <row r="1" spans="1:4" ht="78" customHeight="1" thickBot="1">
      <c r="B1" s="377"/>
      <c r="C1" s="378"/>
      <c r="D1" s="379"/>
    </row>
    <row r="2" spans="1:4" ht="40.5" customHeight="1">
      <c r="B2" s="384" t="s">
        <v>172</v>
      </c>
      <c r="C2" s="385"/>
      <c r="D2" s="386"/>
    </row>
    <row r="3" spans="1:4" s="9" customFormat="1" ht="30.75" customHeight="1">
      <c r="A3"/>
      <c r="B3" s="39" t="s">
        <v>23</v>
      </c>
      <c r="C3" s="58"/>
      <c r="D3" s="75" t="s">
        <v>170</v>
      </c>
    </row>
    <row r="4" spans="1:4" s="9" customFormat="1" ht="15.75" customHeight="1">
      <c r="A4"/>
      <c r="B4" s="41" t="s">
        <v>3</v>
      </c>
      <c r="C4" s="21"/>
      <c r="D4" s="140">
        <v>43693</v>
      </c>
    </row>
    <row r="5" spans="1:4" s="9" customFormat="1" ht="18" customHeight="1">
      <c r="A5"/>
      <c r="B5" s="42" t="s">
        <v>72</v>
      </c>
      <c r="C5" s="59"/>
      <c r="D5" s="145" t="s">
        <v>5</v>
      </c>
    </row>
    <row r="6" spans="1:4" s="9" customFormat="1" ht="15.75" customHeight="1">
      <c r="A6"/>
      <c r="B6" s="43" t="s">
        <v>312</v>
      </c>
      <c r="C6" s="163"/>
      <c r="D6" s="146"/>
    </row>
    <row r="7" spans="1:4" s="9" customFormat="1" ht="15.75" customHeight="1" thickBot="1">
      <c r="A7"/>
      <c r="B7" s="43"/>
      <c r="C7" s="21"/>
      <c r="D7" s="147"/>
    </row>
    <row r="8" spans="1:4" ht="28.5">
      <c r="B8" s="60" t="s">
        <v>109</v>
      </c>
      <c r="C8" s="61" t="s">
        <v>18</v>
      </c>
      <c r="D8" s="62" t="s">
        <v>110</v>
      </c>
    </row>
    <row r="9" spans="1:4" ht="81" customHeight="1">
      <c r="B9" s="66" t="s">
        <v>358</v>
      </c>
      <c r="C9" s="64" t="s">
        <v>359</v>
      </c>
      <c r="D9" s="143"/>
    </row>
    <row r="10" spans="1:4" ht="33.75" customHeight="1">
      <c r="B10" s="63" t="s">
        <v>111</v>
      </c>
      <c r="C10" s="65" t="s">
        <v>112</v>
      </c>
      <c r="D10" s="143"/>
    </row>
    <row r="11" spans="1:4" ht="144.75" customHeight="1">
      <c r="B11" s="66" t="s">
        <v>113</v>
      </c>
      <c r="C11" s="65" t="s">
        <v>114</v>
      </c>
      <c r="D11" s="143"/>
    </row>
    <row r="12" spans="1:4" ht="54.6" customHeight="1">
      <c r="B12" s="66" t="s">
        <v>115</v>
      </c>
      <c r="C12" s="65" t="s">
        <v>116</v>
      </c>
      <c r="D12" s="143"/>
    </row>
    <row r="13" spans="1:4" ht="54.6" customHeight="1">
      <c r="B13" s="66" t="s">
        <v>117</v>
      </c>
      <c r="C13" s="65" t="s">
        <v>118</v>
      </c>
      <c r="D13" s="143"/>
    </row>
    <row r="14" spans="1:4" ht="69.599999999999994" customHeight="1">
      <c r="B14" s="66" t="s">
        <v>119</v>
      </c>
      <c r="C14" s="65" t="s">
        <v>120</v>
      </c>
      <c r="D14" s="143"/>
    </row>
    <row r="15" spans="1:4" ht="90" customHeight="1">
      <c r="B15" s="66" t="s">
        <v>121</v>
      </c>
      <c r="C15" s="65" t="s">
        <v>122</v>
      </c>
      <c r="D15" s="143"/>
    </row>
    <row r="16" spans="1:4" ht="37.5" customHeight="1">
      <c r="B16" s="63" t="s">
        <v>123</v>
      </c>
      <c r="C16" s="65" t="s">
        <v>124</v>
      </c>
      <c r="D16" s="143"/>
    </row>
    <row r="17" spans="2:4" ht="92.25" customHeight="1">
      <c r="B17" s="63" t="s">
        <v>125</v>
      </c>
      <c r="C17" s="65" t="s">
        <v>126</v>
      </c>
      <c r="D17" s="143"/>
    </row>
    <row r="18" spans="2:4" ht="75" customHeight="1">
      <c r="B18" s="63" t="s">
        <v>127</v>
      </c>
      <c r="C18" s="65" t="s">
        <v>579</v>
      </c>
      <c r="D18" s="143"/>
    </row>
    <row r="19" spans="2:4" ht="31.9" customHeight="1">
      <c r="B19" s="63" t="s">
        <v>111</v>
      </c>
      <c r="C19" s="64" t="s">
        <v>580</v>
      </c>
      <c r="D19" s="143"/>
    </row>
    <row r="20" spans="2:4" ht="43.9" customHeight="1">
      <c r="B20" s="63" t="s">
        <v>128</v>
      </c>
      <c r="C20" s="65" t="s">
        <v>129</v>
      </c>
      <c r="D20" s="143"/>
    </row>
    <row r="21" spans="2:4" ht="31.9" customHeight="1">
      <c r="B21" s="66" t="s">
        <v>130</v>
      </c>
      <c r="C21" s="65" t="s">
        <v>131</v>
      </c>
      <c r="D21" s="143"/>
    </row>
    <row r="22" spans="2:4" ht="49.9" customHeight="1">
      <c r="B22" s="66" t="s">
        <v>132</v>
      </c>
      <c r="C22" s="65" t="s">
        <v>133</v>
      </c>
      <c r="D22" s="143"/>
    </row>
    <row r="23" spans="2:4" ht="110.45" customHeight="1">
      <c r="B23" s="66" t="s">
        <v>134</v>
      </c>
      <c r="C23" s="65" t="s">
        <v>135</v>
      </c>
      <c r="D23" s="143"/>
    </row>
    <row r="24" spans="2:4" ht="55.9" customHeight="1">
      <c r="B24" s="66" t="s">
        <v>136</v>
      </c>
      <c r="C24" s="65" t="s">
        <v>137</v>
      </c>
      <c r="D24" s="143"/>
    </row>
    <row r="25" spans="2:4" ht="31.15" customHeight="1">
      <c r="B25" s="66" t="s">
        <v>138</v>
      </c>
      <c r="C25" s="65" t="s">
        <v>139</v>
      </c>
      <c r="D25" s="143"/>
    </row>
    <row r="26" spans="2:4" ht="44.25" customHeight="1">
      <c r="B26" s="66" t="s">
        <v>140</v>
      </c>
      <c r="C26" s="67" t="s">
        <v>141</v>
      </c>
      <c r="D26" s="143"/>
    </row>
    <row r="27" spans="2:4" ht="43.9" customHeight="1">
      <c r="B27" s="66" t="s">
        <v>142</v>
      </c>
      <c r="C27" s="65" t="s">
        <v>143</v>
      </c>
      <c r="D27" s="143"/>
    </row>
    <row r="28" spans="2:4" ht="111.75" customHeight="1">
      <c r="B28" s="66" t="s">
        <v>144</v>
      </c>
      <c r="C28" s="65" t="s">
        <v>581</v>
      </c>
      <c r="D28" s="143"/>
    </row>
    <row r="29" spans="2:4" ht="90" customHeight="1">
      <c r="B29" s="66" t="s">
        <v>145</v>
      </c>
      <c r="C29" s="65" t="s">
        <v>146</v>
      </c>
      <c r="D29" s="143"/>
    </row>
    <row r="30" spans="2:4" ht="79.900000000000006" customHeight="1">
      <c r="B30" s="66" t="s">
        <v>147</v>
      </c>
      <c r="C30" s="65" t="s">
        <v>148</v>
      </c>
      <c r="D30" s="143"/>
    </row>
    <row r="31" spans="2:4" ht="60.6" customHeight="1">
      <c r="B31" s="66" t="s">
        <v>149</v>
      </c>
      <c r="C31" s="65" t="s">
        <v>150</v>
      </c>
      <c r="D31" s="143"/>
    </row>
    <row r="32" spans="2:4" ht="63.6" customHeight="1">
      <c r="B32" s="66" t="s">
        <v>151</v>
      </c>
      <c r="C32" s="65" t="s">
        <v>152</v>
      </c>
      <c r="D32" s="143"/>
    </row>
    <row r="33" spans="2:4" ht="84.75" customHeight="1">
      <c r="B33" s="66" t="s">
        <v>583</v>
      </c>
      <c r="C33" s="68" t="s">
        <v>582</v>
      </c>
      <c r="D33" s="143"/>
    </row>
    <row r="34" spans="2:4" ht="60.75" customHeight="1">
      <c r="B34" s="66" t="s">
        <v>153</v>
      </c>
      <c r="C34" s="65" t="s">
        <v>154</v>
      </c>
      <c r="D34" s="143"/>
    </row>
    <row r="35" spans="2:4" ht="15" customHeight="1">
      <c r="B35" s="149"/>
      <c r="C35" s="148"/>
      <c r="D35" s="154"/>
    </row>
    <row r="36" spans="2:4" ht="39.75" customHeight="1">
      <c r="B36" s="387"/>
      <c r="C36" s="382" t="s">
        <v>49</v>
      </c>
      <c r="D36" s="383"/>
    </row>
    <row r="37" spans="2:4" ht="79.5" customHeight="1" thickBot="1">
      <c r="B37" s="388"/>
      <c r="C37" s="380" t="s">
        <v>51</v>
      </c>
      <c r="D37" s="381"/>
    </row>
  </sheetData>
  <mergeCells count="5">
    <mergeCell ref="B1:D1"/>
    <mergeCell ref="C37:D37"/>
    <mergeCell ref="C36:D36"/>
    <mergeCell ref="B2:D2"/>
    <mergeCell ref="B36:B37"/>
  </mergeCells>
  <pageMargins left="0.7" right="0.7" top="0.75" bottom="0.75" header="0.3" footer="0.3"/>
  <pageSetup paperSize="9" scale="75"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7DAD2-5432-45BB-88E9-39226C26D9C3}">
  <sheetPr codeName="Sheet5"/>
  <dimension ref="A1:O93"/>
  <sheetViews>
    <sheetView tabSelected="1" zoomScale="80" zoomScaleNormal="80" workbookViewId="0">
      <selection activeCell="K4" sqref="K4"/>
    </sheetView>
  </sheetViews>
  <sheetFormatPr defaultColWidth="9.140625" defaultRowHeight="26.25"/>
  <cols>
    <col min="1" max="1" width="7.140625" bestFit="1" customWidth="1"/>
    <col min="2" max="2" width="14.7109375" customWidth="1"/>
    <col min="3" max="3" width="12" style="352" customWidth="1"/>
    <col min="4" max="4" width="86.5703125" bestFit="1" customWidth="1"/>
    <col min="5" max="6" width="16.7109375" style="17" customWidth="1"/>
    <col min="7" max="7" width="12" style="18" customWidth="1"/>
    <col min="8" max="8" width="13.85546875" style="18" bestFit="1" customWidth="1"/>
    <col min="9" max="9" width="13.140625" customWidth="1"/>
    <col min="10" max="10" width="16.7109375" bestFit="1" customWidth="1"/>
    <col min="11" max="11" width="64.28515625" customWidth="1"/>
    <col min="12" max="12" width="16.140625" customWidth="1"/>
  </cols>
  <sheetData>
    <row r="1" spans="1:15" s="8" customFormat="1" ht="81.75" customHeight="1">
      <c r="B1" s="399"/>
      <c r="C1" s="400"/>
      <c r="D1" s="400"/>
      <c r="E1" s="400"/>
      <c r="F1" s="400"/>
      <c r="G1" s="400"/>
      <c r="H1" s="400"/>
      <c r="I1" s="400"/>
      <c r="J1" s="400"/>
      <c r="K1" s="401"/>
    </row>
    <row r="2" spans="1:15" ht="40.5" customHeight="1">
      <c r="B2" s="384" t="s">
        <v>22</v>
      </c>
      <c r="C2" s="385"/>
      <c r="D2" s="385"/>
      <c r="E2" s="385"/>
      <c r="F2" s="385"/>
      <c r="G2" s="385"/>
      <c r="H2" s="385"/>
      <c r="I2" s="385"/>
      <c r="J2" s="385"/>
      <c r="K2" s="386"/>
    </row>
    <row r="3" spans="1:15" s="9" customFormat="1" ht="30.75" customHeight="1">
      <c r="A3"/>
      <c r="B3" s="389" t="s">
        <v>23</v>
      </c>
      <c r="C3" s="390"/>
      <c r="D3" s="58"/>
      <c r="E3" s="415"/>
      <c r="F3" s="416"/>
      <c r="G3" s="416"/>
      <c r="H3" s="416"/>
      <c r="I3" s="416"/>
      <c r="J3" s="70" t="s">
        <v>170</v>
      </c>
      <c r="K3" s="173">
        <v>43871</v>
      </c>
    </row>
    <row r="4" spans="1:15" s="9" customFormat="1" ht="15.75" customHeight="1">
      <c r="A4"/>
      <c r="B4" s="391" t="s">
        <v>3</v>
      </c>
      <c r="C4" s="392"/>
      <c r="D4" s="21"/>
      <c r="E4" s="417"/>
      <c r="F4" s="418"/>
      <c r="G4" s="418"/>
      <c r="H4" s="418"/>
      <c r="I4" s="418"/>
      <c r="J4" s="40" t="s">
        <v>5</v>
      </c>
      <c r="K4" s="203"/>
    </row>
    <row r="5" spans="1:15" s="9" customFormat="1" ht="18" customHeight="1">
      <c r="A5"/>
      <c r="B5" s="393" t="s">
        <v>72</v>
      </c>
      <c r="C5" s="394"/>
      <c r="D5" s="59"/>
      <c r="E5" s="417"/>
      <c r="F5" s="418"/>
      <c r="G5" s="418"/>
      <c r="H5" s="418"/>
      <c r="I5" s="418"/>
      <c r="J5" s="402"/>
      <c r="K5" s="403"/>
    </row>
    <row r="6" spans="1:15" s="9" customFormat="1" ht="15.75" customHeight="1">
      <c r="A6"/>
      <c r="B6" s="395" t="s">
        <v>312</v>
      </c>
      <c r="C6" s="396"/>
      <c r="D6" s="163">
        <v>43983</v>
      </c>
      <c r="E6" s="417"/>
      <c r="F6" s="418"/>
      <c r="G6" s="418"/>
      <c r="H6" s="418"/>
      <c r="I6" s="418"/>
      <c r="J6" s="402"/>
      <c r="K6" s="403"/>
    </row>
    <row r="7" spans="1:15" s="9" customFormat="1" ht="15.75" customHeight="1">
      <c r="A7"/>
      <c r="B7" s="397" t="s">
        <v>351</v>
      </c>
      <c r="C7" s="398"/>
      <c r="D7" s="21"/>
      <c r="E7" s="419"/>
      <c r="F7" s="420"/>
      <c r="G7" s="420"/>
      <c r="H7" s="420"/>
      <c r="I7" s="420"/>
      <c r="J7" s="404"/>
      <c r="K7" s="405"/>
    </row>
    <row r="8" spans="1:15" s="8" customFormat="1" ht="66" customHeight="1">
      <c r="A8"/>
      <c r="B8" s="164" t="s">
        <v>24</v>
      </c>
      <c r="C8" s="345" t="s">
        <v>665</v>
      </c>
      <c r="D8" s="71" t="s">
        <v>25</v>
      </c>
      <c r="E8" s="165" t="s">
        <v>26</v>
      </c>
      <c r="F8" s="165" t="s">
        <v>27</v>
      </c>
      <c r="G8" s="345" t="s">
        <v>652</v>
      </c>
      <c r="H8" s="167" t="s">
        <v>381</v>
      </c>
      <c r="I8" s="166" t="s">
        <v>28</v>
      </c>
      <c r="J8" s="168" t="s">
        <v>29</v>
      </c>
      <c r="K8" s="222" t="s">
        <v>30</v>
      </c>
    </row>
    <row r="9" spans="1:15" s="14" customFormat="1" ht="22.5" customHeight="1">
      <c r="A9"/>
      <c r="B9" s="434" t="s">
        <v>664</v>
      </c>
      <c r="C9" s="449">
        <v>25</v>
      </c>
      <c r="D9" s="44" t="s">
        <v>636</v>
      </c>
      <c r="E9" s="45" t="s">
        <v>86</v>
      </c>
      <c r="F9" s="45" t="s">
        <v>93</v>
      </c>
      <c r="G9" s="35">
        <v>0</v>
      </c>
      <c r="H9" s="35">
        <v>180</v>
      </c>
      <c r="I9" s="29">
        <f t="shared" ref="I9:I12" si="0">$D$6-H9</f>
        <v>43803</v>
      </c>
      <c r="J9" s="46"/>
      <c r="K9" s="47"/>
      <c r="L9" s="12"/>
      <c r="M9" s="13"/>
      <c r="N9" s="13"/>
      <c r="O9" s="13"/>
    </row>
    <row r="10" spans="1:15" s="14" customFormat="1" ht="22.5" customHeight="1">
      <c r="A10"/>
      <c r="B10" s="434"/>
      <c r="C10" s="450"/>
      <c r="D10" s="44" t="s">
        <v>382</v>
      </c>
      <c r="E10" s="45" t="s">
        <v>87</v>
      </c>
      <c r="F10" s="45"/>
      <c r="G10" s="35">
        <v>5</v>
      </c>
      <c r="H10" s="35">
        <f>H9-G10</f>
        <v>175</v>
      </c>
      <c r="I10" s="29">
        <f t="shared" si="0"/>
        <v>43808</v>
      </c>
      <c r="J10" s="46"/>
      <c r="K10" s="47" t="s">
        <v>383</v>
      </c>
      <c r="L10" s="12"/>
      <c r="M10" s="13"/>
      <c r="N10" s="13"/>
      <c r="O10" s="13"/>
    </row>
    <row r="11" spans="1:15" s="14" customFormat="1" ht="22.5" customHeight="1">
      <c r="A11"/>
      <c r="B11" s="434"/>
      <c r="C11" s="450"/>
      <c r="D11" s="44" t="s">
        <v>637</v>
      </c>
      <c r="E11" s="45" t="s">
        <v>87</v>
      </c>
      <c r="F11" s="45"/>
      <c r="G11" s="35">
        <v>15</v>
      </c>
      <c r="H11" s="35">
        <f t="shared" ref="H11:H66" si="1">H10-G11</f>
        <v>160</v>
      </c>
      <c r="I11" s="29">
        <f t="shared" si="0"/>
        <v>43823</v>
      </c>
      <c r="J11" s="46"/>
      <c r="K11" s="47" t="s">
        <v>376</v>
      </c>
      <c r="L11" s="12"/>
      <c r="M11" s="13"/>
      <c r="N11" s="13"/>
      <c r="O11" s="13"/>
    </row>
    <row r="12" spans="1:15" s="14" customFormat="1" ht="22.5" customHeight="1">
      <c r="A12"/>
      <c r="B12" s="434"/>
      <c r="C12" s="451"/>
      <c r="D12" s="44" t="s">
        <v>640</v>
      </c>
      <c r="E12" s="45" t="s">
        <v>86</v>
      </c>
      <c r="F12" s="45" t="s">
        <v>93</v>
      </c>
      <c r="G12" s="35">
        <v>5</v>
      </c>
      <c r="H12" s="35">
        <f t="shared" si="1"/>
        <v>155</v>
      </c>
      <c r="I12" s="29">
        <f t="shared" si="0"/>
        <v>43828</v>
      </c>
      <c r="J12" s="46"/>
      <c r="K12" s="48"/>
      <c r="L12" s="12"/>
      <c r="M12" s="13"/>
      <c r="N12" s="13"/>
      <c r="O12" s="13"/>
    </row>
    <row r="13" spans="1:15" s="14" customFormat="1" ht="22.5" customHeight="1">
      <c r="A13"/>
      <c r="B13" s="443" t="s">
        <v>666</v>
      </c>
      <c r="C13" s="449">
        <v>40</v>
      </c>
      <c r="D13" s="44" t="s">
        <v>375</v>
      </c>
      <c r="E13" s="45" t="s">
        <v>86</v>
      </c>
      <c r="F13" s="45" t="s">
        <v>93</v>
      </c>
      <c r="G13" s="35">
        <v>0</v>
      </c>
      <c r="H13" s="35">
        <f t="shared" si="1"/>
        <v>155</v>
      </c>
      <c r="I13" s="29">
        <f t="shared" ref="I13:I48" si="2">$D$6-H13</f>
        <v>43828</v>
      </c>
      <c r="J13" s="46"/>
      <c r="K13" s="47"/>
      <c r="L13" s="12"/>
      <c r="M13" s="13"/>
      <c r="N13" s="13"/>
      <c r="O13" s="13"/>
    </row>
    <row r="14" spans="1:15" s="14" customFormat="1" ht="22.5" customHeight="1">
      <c r="A14"/>
      <c r="B14" s="444"/>
      <c r="C14" s="450"/>
      <c r="D14" s="44" t="s">
        <v>85</v>
      </c>
      <c r="E14" s="45" t="s">
        <v>87</v>
      </c>
      <c r="F14" s="45"/>
      <c r="G14" s="35">
        <v>0</v>
      </c>
      <c r="H14" s="35">
        <f t="shared" si="1"/>
        <v>155</v>
      </c>
      <c r="I14" s="29">
        <f t="shared" si="2"/>
        <v>43828</v>
      </c>
      <c r="J14" s="46"/>
      <c r="K14" s="47"/>
      <c r="L14" s="12"/>
      <c r="M14" s="13"/>
      <c r="N14" s="13"/>
      <c r="O14" s="13"/>
    </row>
    <row r="15" spans="1:15" s="14" customFormat="1" ht="22.5" customHeight="1">
      <c r="A15"/>
      <c r="B15" s="444"/>
      <c r="C15" s="450"/>
      <c r="D15" s="44" t="s">
        <v>638</v>
      </c>
      <c r="E15" s="45" t="s">
        <v>87</v>
      </c>
      <c r="F15" s="45"/>
      <c r="G15" s="35">
        <v>15</v>
      </c>
      <c r="H15" s="35">
        <f t="shared" si="1"/>
        <v>140</v>
      </c>
      <c r="I15" s="29">
        <f t="shared" si="2"/>
        <v>43843</v>
      </c>
      <c r="J15" s="46"/>
      <c r="K15" s="47" t="s">
        <v>377</v>
      </c>
      <c r="L15" s="12"/>
      <c r="M15" s="13"/>
      <c r="N15" s="13"/>
      <c r="O15" s="13"/>
    </row>
    <row r="16" spans="1:15" s="14" customFormat="1" ht="22.5" customHeight="1">
      <c r="A16"/>
      <c r="B16" s="444"/>
      <c r="C16" s="450"/>
      <c r="D16" s="44" t="s">
        <v>639</v>
      </c>
      <c r="E16" s="45" t="s">
        <v>87</v>
      </c>
      <c r="F16" s="45"/>
      <c r="G16" s="35">
        <v>0</v>
      </c>
      <c r="H16" s="35">
        <f t="shared" si="1"/>
        <v>140</v>
      </c>
      <c r="I16" s="29">
        <f t="shared" ref="I16" si="3">$D$6-H16</f>
        <v>43843</v>
      </c>
      <c r="J16" s="46"/>
      <c r="K16" s="47" t="s">
        <v>376</v>
      </c>
      <c r="L16" s="12"/>
      <c r="M16" s="13"/>
      <c r="N16" s="13"/>
      <c r="O16" s="13"/>
    </row>
    <row r="17" spans="1:15" s="14" customFormat="1" ht="22.5" customHeight="1">
      <c r="A17"/>
      <c r="B17" s="444"/>
      <c r="C17" s="450"/>
      <c r="D17" s="44" t="s">
        <v>641</v>
      </c>
      <c r="E17" s="45" t="s">
        <v>86</v>
      </c>
      <c r="F17" s="45" t="s">
        <v>93</v>
      </c>
      <c r="G17" s="35">
        <v>5</v>
      </c>
      <c r="H17" s="35">
        <f t="shared" si="1"/>
        <v>135</v>
      </c>
      <c r="I17" s="29">
        <f t="shared" si="2"/>
        <v>43848</v>
      </c>
      <c r="J17" s="46"/>
      <c r="K17" s="48"/>
      <c r="L17" s="12"/>
      <c r="M17" s="13"/>
      <c r="N17" s="13"/>
      <c r="O17" s="13"/>
    </row>
    <row r="18" spans="1:15" s="14" customFormat="1" ht="22.5" customHeight="1">
      <c r="A18"/>
      <c r="B18" s="444"/>
      <c r="C18" s="450"/>
      <c r="D18" s="343" t="s">
        <v>642</v>
      </c>
      <c r="E18" s="45" t="s">
        <v>86</v>
      </c>
      <c r="F18" s="45" t="s">
        <v>93</v>
      </c>
      <c r="G18" s="35">
        <v>0</v>
      </c>
      <c r="H18" s="35">
        <f t="shared" si="1"/>
        <v>135</v>
      </c>
      <c r="I18" s="29">
        <f t="shared" si="2"/>
        <v>43848</v>
      </c>
      <c r="J18" s="46"/>
      <c r="K18" s="48" t="s">
        <v>105</v>
      </c>
      <c r="L18" s="12"/>
      <c r="M18" s="13"/>
      <c r="N18" s="13"/>
      <c r="O18" s="13"/>
    </row>
    <row r="19" spans="1:15" s="14" customFormat="1" ht="22.5" customHeight="1">
      <c r="A19"/>
      <c r="B19" s="444"/>
      <c r="C19" s="450"/>
      <c r="D19" s="44" t="s">
        <v>643</v>
      </c>
      <c r="E19" s="45" t="s">
        <v>87</v>
      </c>
      <c r="F19" s="45"/>
      <c r="G19" s="35">
        <v>10</v>
      </c>
      <c r="H19" s="35">
        <f t="shared" si="1"/>
        <v>125</v>
      </c>
      <c r="I19" s="29">
        <f t="shared" si="2"/>
        <v>43858</v>
      </c>
      <c r="J19" s="46"/>
      <c r="K19" s="47" t="s">
        <v>376</v>
      </c>
      <c r="L19" s="12"/>
      <c r="M19" s="13"/>
      <c r="N19" s="13"/>
      <c r="O19" s="13"/>
    </row>
    <row r="20" spans="1:15" s="14" customFormat="1" ht="22.5" customHeight="1">
      <c r="A20"/>
      <c r="B20" s="444"/>
      <c r="C20" s="451"/>
      <c r="D20" s="44" t="s">
        <v>644</v>
      </c>
      <c r="E20" s="45" t="s">
        <v>86</v>
      </c>
      <c r="F20" s="45" t="s">
        <v>93</v>
      </c>
      <c r="G20" s="35">
        <v>5</v>
      </c>
      <c r="H20" s="35">
        <f t="shared" si="1"/>
        <v>120</v>
      </c>
      <c r="I20" s="29">
        <f t="shared" si="2"/>
        <v>43863</v>
      </c>
      <c r="J20" s="46"/>
      <c r="K20" s="48" t="s">
        <v>105</v>
      </c>
      <c r="L20" s="12"/>
      <c r="M20" s="13"/>
      <c r="N20" s="13"/>
      <c r="O20" s="13"/>
    </row>
    <row r="21" spans="1:15" s="14" customFormat="1" ht="22.5" customHeight="1">
      <c r="A21"/>
      <c r="B21" s="435" t="s">
        <v>39</v>
      </c>
      <c r="C21" s="449">
        <v>15</v>
      </c>
      <c r="D21" s="44" t="s">
        <v>651</v>
      </c>
      <c r="E21" s="45" t="s">
        <v>87</v>
      </c>
      <c r="F21" s="55"/>
      <c r="G21" s="35">
        <v>10</v>
      </c>
      <c r="H21" s="35">
        <f>H18-G21</f>
        <v>125</v>
      </c>
      <c r="I21" s="29">
        <f t="shared" si="2"/>
        <v>43858</v>
      </c>
      <c r="J21" s="46"/>
      <c r="K21" s="47"/>
      <c r="L21" s="12"/>
      <c r="M21" s="13"/>
      <c r="N21" s="13"/>
      <c r="O21" s="13"/>
    </row>
    <row r="22" spans="1:15" s="14" customFormat="1" ht="22.5" customHeight="1">
      <c r="A22"/>
      <c r="B22" s="436"/>
      <c r="C22" s="451"/>
      <c r="D22" s="44" t="s">
        <v>40</v>
      </c>
      <c r="E22" s="45" t="s">
        <v>87</v>
      </c>
      <c r="F22" s="55"/>
      <c r="G22" s="35">
        <v>5</v>
      </c>
      <c r="H22" s="35">
        <f t="shared" si="1"/>
        <v>120</v>
      </c>
      <c r="I22" s="29">
        <f t="shared" si="2"/>
        <v>43863</v>
      </c>
      <c r="J22" s="46"/>
      <c r="K22" s="47"/>
      <c r="L22" s="12"/>
      <c r="M22" s="13"/>
      <c r="N22" s="13"/>
      <c r="O22" s="13"/>
    </row>
    <row r="23" spans="1:15" s="14" customFormat="1" ht="22.5" customHeight="1">
      <c r="A23"/>
      <c r="B23" s="426" t="s">
        <v>379</v>
      </c>
      <c r="C23" s="452"/>
      <c r="D23" s="44" t="s">
        <v>32</v>
      </c>
      <c r="E23" s="45" t="s">
        <v>87</v>
      </c>
      <c r="F23" s="45"/>
      <c r="G23" s="34">
        <v>0</v>
      </c>
      <c r="H23" s="35">
        <f>H18-G23</f>
        <v>135</v>
      </c>
      <c r="I23" s="29">
        <f t="shared" si="2"/>
        <v>43848</v>
      </c>
      <c r="J23" s="46"/>
      <c r="K23" s="47"/>
      <c r="L23" s="12"/>
      <c r="M23" s="13"/>
      <c r="N23" s="13"/>
      <c r="O23" s="13"/>
    </row>
    <row r="24" spans="1:15" s="14" customFormat="1" ht="22.5" customHeight="1">
      <c r="A24"/>
      <c r="B24" s="427"/>
      <c r="C24" s="453"/>
      <c r="D24" s="342" t="s">
        <v>378</v>
      </c>
      <c r="E24" s="45" t="s">
        <v>87</v>
      </c>
      <c r="F24" s="45" t="s">
        <v>93</v>
      </c>
      <c r="G24" s="35">
        <v>0</v>
      </c>
      <c r="H24" s="35">
        <f t="shared" si="1"/>
        <v>135</v>
      </c>
      <c r="I24" s="29">
        <f t="shared" si="2"/>
        <v>43848</v>
      </c>
      <c r="J24" s="46"/>
      <c r="K24" s="47"/>
      <c r="L24" s="12"/>
      <c r="M24" s="13"/>
      <c r="N24" s="13"/>
      <c r="O24" s="13"/>
    </row>
    <row r="25" spans="1:15" s="14" customFormat="1" ht="22.5" customHeight="1">
      <c r="A25"/>
      <c r="B25" s="427"/>
      <c r="C25" s="453"/>
      <c r="D25" s="44" t="s">
        <v>108</v>
      </c>
      <c r="E25" s="45" t="s">
        <v>87</v>
      </c>
      <c r="F25" s="45"/>
      <c r="G25" s="35">
        <v>0</v>
      </c>
      <c r="H25" s="35">
        <f t="shared" si="1"/>
        <v>135</v>
      </c>
      <c r="I25" s="29">
        <f t="shared" si="2"/>
        <v>43848</v>
      </c>
      <c r="J25" s="46"/>
      <c r="K25" s="47"/>
      <c r="L25" s="12"/>
      <c r="M25" s="13"/>
      <c r="N25" s="13"/>
      <c r="O25" s="13"/>
    </row>
    <row r="26" spans="1:15" s="14" customFormat="1" ht="22.5" customHeight="1">
      <c r="A26"/>
      <c r="B26" s="427"/>
      <c r="C26" s="453"/>
      <c r="D26" s="44" t="s">
        <v>31</v>
      </c>
      <c r="E26" s="45" t="s">
        <v>87</v>
      </c>
      <c r="F26" s="45"/>
      <c r="G26" s="35">
        <v>0</v>
      </c>
      <c r="H26" s="35">
        <f t="shared" si="1"/>
        <v>135</v>
      </c>
      <c r="I26" s="29">
        <f t="shared" si="2"/>
        <v>43848</v>
      </c>
      <c r="J26" s="46"/>
      <c r="K26" s="47"/>
      <c r="L26" s="12"/>
      <c r="M26" s="13"/>
      <c r="N26" s="13"/>
      <c r="O26" s="13"/>
    </row>
    <row r="27" spans="1:15" s="14" customFormat="1" ht="22.5" customHeight="1">
      <c r="A27"/>
      <c r="B27" s="427"/>
      <c r="C27" s="453"/>
      <c r="D27" s="44" t="s">
        <v>98</v>
      </c>
      <c r="E27" s="45" t="s">
        <v>86</v>
      </c>
      <c r="F27" s="45" t="s">
        <v>93</v>
      </c>
      <c r="G27" s="35">
        <v>0</v>
      </c>
      <c r="H27" s="35">
        <f t="shared" si="1"/>
        <v>135</v>
      </c>
      <c r="I27" s="29">
        <f t="shared" si="2"/>
        <v>43848</v>
      </c>
      <c r="J27" s="46"/>
      <c r="K27" s="53"/>
      <c r="L27" s="12"/>
      <c r="M27" s="13"/>
      <c r="N27" s="13"/>
      <c r="O27" s="13"/>
    </row>
    <row r="28" spans="1:15" s="14" customFormat="1" ht="22.5" customHeight="1">
      <c r="A28"/>
      <c r="B28" s="427"/>
      <c r="C28" s="454"/>
      <c r="D28" s="44" t="s">
        <v>34</v>
      </c>
      <c r="E28" s="45" t="s">
        <v>87</v>
      </c>
      <c r="F28" s="45"/>
      <c r="G28" s="35">
        <v>0</v>
      </c>
      <c r="H28" s="35">
        <f t="shared" si="1"/>
        <v>135</v>
      </c>
      <c r="I28" s="29">
        <f t="shared" si="2"/>
        <v>43848</v>
      </c>
      <c r="J28" s="46"/>
      <c r="K28" s="52"/>
      <c r="L28" s="12"/>
      <c r="M28" s="13"/>
      <c r="N28" s="13"/>
      <c r="O28" s="13"/>
    </row>
    <row r="29" spans="1:15" s="14" customFormat="1" ht="22.5" customHeight="1">
      <c r="A29"/>
      <c r="B29" s="445" t="s">
        <v>667</v>
      </c>
      <c r="C29" s="455">
        <v>100</v>
      </c>
      <c r="D29" s="44" t="s">
        <v>35</v>
      </c>
      <c r="E29" s="45" t="s">
        <v>87</v>
      </c>
      <c r="F29" s="45"/>
      <c r="G29" s="35">
        <v>0</v>
      </c>
      <c r="H29" s="35">
        <f>H22-G29</f>
        <v>120</v>
      </c>
      <c r="I29" s="29">
        <f t="shared" si="2"/>
        <v>43863</v>
      </c>
      <c r="J29" s="46"/>
      <c r="K29" s="52"/>
      <c r="L29" s="12"/>
      <c r="M29" s="13"/>
      <c r="N29" s="13"/>
      <c r="O29" s="13"/>
    </row>
    <row r="30" spans="1:15" s="14" customFormat="1" ht="22.5" customHeight="1">
      <c r="A30"/>
      <c r="B30" s="445"/>
      <c r="C30" s="456"/>
      <c r="D30" s="49" t="s">
        <v>33</v>
      </c>
      <c r="E30" s="45" t="s">
        <v>87</v>
      </c>
      <c r="F30" s="45"/>
      <c r="G30" s="35">
        <v>0</v>
      </c>
      <c r="H30" s="35">
        <f t="shared" si="1"/>
        <v>120</v>
      </c>
      <c r="I30" s="29">
        <f t="shared" si="2"/>
        <v>43863</v>
      </c>
      <c r="J30" s="46"/>
      <c r="K30" s="47" t="s">
        <v>103</v>
      </c>
      <c r="L30" s="12"/>
      <c r="M30" s="13"/>
      <c r="N30" s="13"/>
      <c r="O30" s="13"/>
    </row>
    <row r="31" spans="1:15" s="14" customFormat="1" ht="22.5" customHeight="1">
      <c r="A31"/>
      <c r="B31" s="445"/>
      <c r="C31" s="456"/>
      <c r="D31" s="44" t="s">
        <v>662</v>
      </c>
      <c r="E31" s="45" t="s">
        <v>87</v>
      </c>
      <c r="F31" s="45"/>
      <c r="G31" s="35">
        <v>0</v>
      </c>
      <c r="H31" s="35">
        <f t="shared" ref="H31" si="4">H29-G31</f>
        <v>120</v>
      </c>
      <c r="I31" s="29">
        <f t="shared" ref="I31" si="5">$D$6-H31</f>
        <v>43863</v>
      </c>
      <c r="J31" s="46"/>
      <c r="K31" s="51"/>
      <c r="L31" s="12"/>
      <c r="M31" s="13"/>
      <c r="N31" s="13"/>
      <c r="O31" s="13"/>
    </row>
    <row r="32" spans="1:15" s="14" customFormat="1" ht="22.5" customHeight="1">
      <c r="A32"/>
      <c r="B32" s="445"/>
      <c r="C32" s="456"/>
      <c r="D32" s="44" t="s">
        <v>38</v>
      </c>
      <c r="E32" s="45" t="s">
        <v>87</v>
      </c>
      <c r="F32" s="45"/>
      <c r="G32" s="35">
        <v>0</v>
      </c>
      <c r="H32" s="35">
        <f t="shared" ref="H32" si="6">H30-G32</f>
        <v>120</v>
      </c>
      <c r="I32" s="29">
        <f t="shared" si="2"/>
        <v>43863</v>
      </c>
      <c r="J32" s="46"/>
      <c r="K32" s="51"/>
      <c r="L32" s="12"/>
      <c r="M32" s="13"/>
      <c r="N32" s="13"/>
      <c r="O32" s="13"/>
    </row>
    <row r="33" spans="1:15" s="14" customFormat="1" ht="22.5" customHeight="1">
      <c r="A33"/>
      <c r="B33" s="445"/>
      <c r="C33" s="456"/>
      <c r="D33" s="49" t="s">
        <v>645</v>
      </c>
      <c r="E33" s="45" t="s">
        <v>86</v>
      </c>
      <c r="F33" s="45" t="s">
        <v>93</v>
      </c>
      <c r="G33" s="35">
        <v>30</v>
      </c>
      <c r="H33" s="35">
        <f>H30-G33</f>
        <v>90</v>
      </c>
      <c r="I33" s="29">
        <f t="shared" si="2"/>
        <v>43893</v>
      </c>
      <c r="J33" s="46"/>
      <c r="K33" s="47" t="s">
        <v>104</v>
      </c>
      <c r="L33" s="12"/>
      <c r="M33" s="13"/>
      <c r="N33" s="13"/>
      <c r="O33" s="13"/>
    </row>
    <row r="34" spans="1:15" s="14" customFormat="1" ht="22.5" customHeight="1">
      <c r="A34"/>
      <c r="B34" s="445"/>
      <c r="C34" s="456"/>
      <c r="D34" s="44" t="s">
        <v>646</v>
      </c>
      <c r="E34" s="45" t="s">
        <v>86</v>
      </c>
      <c r="F34" s="45" t="s">
        <v>93</v>
      </c>
      <c r="G34" s="35">
        <v>5</v>
      </c>
      <c r="H34" s="35">
        <f t="shared" si="1"/>
        <v>85</v>
      </c>
      <c r="I34" s="29">
        <f t="shared" ref="I34:I40" si="7">$D$6-H34</f>
        <v>43898</v>
      </c>
      <c r="J34" s="46"/>
      <c r="K34" s="48"/>
      <c r="L34" s="12"/>
      <c r="M34" s="13"/>
      <c r="N34" s="13"/>
      <c r="O34" s="13"/>
    </row>
    <row r="35" spans="1:15" s="14" customFormat="1" ht="22.5" customHeight="1">
      <c r="A35"/>
      <c r="B35" s="445"/>
      <c r="C35" s="456"/>
      <c r="D35" s="337" t="s">
        <v>649</v>
      </c>
      <c r="E35" s="45" t="s">
        <v>86</v>
      </c>
      <c r="F35" s="45" t="s">
        <v>93</v>
      </c>
      <c r="G35" s="35">
        <v>0</v>
      </c>
      <c r="H35" s="35">
        <f t="shared" si="1"/>
        <v>85</v>
      </c>
      <c r="I35" s="29">
        <f t="shared" si="7"/>
        <v>43898</v>
      </c>
      <c r="J35" s="46"/>
      <c r="K35" s="47"/>
      <c r="L35" s="12"/>
      <c r="M35" s="13"/>
      <c r="N35" s="13"/>
      <c r="O35" s="13"/>
    </row>
    <row r="36" spans="1:15" s="14" customFormat="1" ht="22.5" customHeight="1">
      <c r="A36"/>
      <c r="B36" s="445"/>
      <c r="C36" s="456"/>
      <c r="D36" s="44" t="s">
        <v>650</v>
      </c>
      <c r="E36" s="45" t="s">
        <v>87</v>
      </c>
      <c r="F36" s="45"/>
      <c r="G36" s="35">
        <v>0</v>
      </c>
      <c r="H36" s="35">
        <f t="shared" si="1"/>
        <v>85</v>
      </c>
      <c r="I36" s="29">
        <f t="shared" si="7"/>
        <v>43898</v>
      </c>
      <c r="J36" s="46"/>
      <c r="K36" s="47"/>
      <c r="L36" s="12"/>
      <c r="M36" s="13"/>
      <c r="N36" s="13"/>
      <c r="O36" s="13"/>
    </row>
    <row r="37" spans="1:15" s="14" customFormat="1" ht="22.5" customHeight="1">
      <c r="A37"/>
      <c r="B37" s="445"/>
      <c r="C37" s="456"/>
      <c r="D37" s="341" t="s">
        <v>634</v>
      </c>
      <c r="E37" s="45" t="s">
        <v>86</v>
      </c>
      <c r="F37" s="45" t="s">
        <v>93</v>
      </c>
      <c r="G37" s="35">
        <v>20</v>
      </c>
      <c r="H37" s="35">
        <f t="shared" si="1"/>
        <v>65</v>
      </c>
      <c r="I37" s="29">
        <f t="shared" si="7"/>
        <v>43918</v>
      </c>
      <c r="J37" s="46"/>
      <c r="K37" s="47"/>
      <c r="L37" s="12"/>
      <c r="M37" s="13"/>
      <c r="N37" s="13"/>
      <c r="O37" s="13"/>
    </row>
    <row r="38" spans="1:15" s="14" customFormat="1" ht="22.5" customHeight="1">
      <c r="A38"/>
      <c r="B38" s="445"/>
      <c r="C38" s="456"/>
      <c r="D38" s="44" t="s">
        <v>660</v>
      </c>
      <c r="E38" s="45" t="s">
        <v>87</v>
      </c>
      <c r="F38" s="45"/>
      <c r="G38" s="35">
        <v>0</v>
      </c>
      <c r="H38" s="35">
        <f t="shared" ref="H38:H39" si="8">H37-G38</f>
        <v>65</v>
      </c>
      <c r="I38" s="29">
        <f t="shared" si="7"/>
        <v>43918</v>
      </c>
      <c r="J38" s="46"/>
      <c r="K38" s="50"/>
      <c r="L38" s="12"/>
      <c r="M38" s="13"/>
      <c r="N38" s="13"/>
      <c r="O38" s="13"/>
    </row>
    <row r="39" spans="1:15" s="14" customFormat="1" ht="22.5" customHeight="1">
      <c r="A39"/>
      <c r="B39" s="445"/>
      <c r="C39" s="456"/>
      <c r="D39" s="44" t="s">
        <v>661</v>
      </c>
      <c r="E39" s="45" t="s">
        <v>86</v>
      </c>
      <c r="F39" s="45" t="s">
        <v>93</v>
      </c>
      <c r="G39" s="35">
        <v>5</v>
      </c>
      <c r="H39" s="35">
        <f t="shared" si="8"/>
        <v>60</v>
      </c>
      <c r="I39" s="29">
        <f t="shared" si="7"/>
        <v>43923</v>
      </c>
      <c r="J39" s="46"/>
      <c r="K39" s="51"/>
      <c r="L39" s="12"/>
      <c r="M39" s="13"/>
      <c r="N39" s="13"/>
      <c r="O39" s="13"/>
    </row>
    <row r="40" spans="1:15" s="14" customFormat="1" ht="22.5" customHeight="1">
      <c r="A40"/>
      <c r="B40" s="445"/>
      <c r="C40" s="456"/>
      <c r="D40" s="49" t="s">
        <v>647</v>
      </c>
      <c r="E40" s="45" t="s">
        <v>87</v>
      </c>
      <c r="F40" s="45"/>
      <c r="G40" s="35">
        <v>20</v>
      </c>
      <c r="H40" s="35">
        <f>H33-G40</f>
        <v>70</v>
      </c>
      <c r="I40" s="29">
        <f t="shared" si="7"/>
        <v>43913</v>
      </c>
      <c r="J40" s="46"/>
      <c r="K40" s="47" t="s">
        <v>104</v>
      </c>
      <c r="L40" s="12"/>
      <c r="M40" s="13"/>
      <c r="N40" s="13"/>
      <c r="O40" s="13"/>
    </row>
    <row r="41" spans="1:15" s="14" customFormat="1" ht="22.5" customHeight="1">
      <c r="A41"/>
      <c r="B41" s="445"/>
      <c r="C41" s="456"/>
      <c r="D41" s="44" t="s">
        <v>648</v>
      </c>
      <c r="E41" s="45" t="s">
        <v>86</v>
      </c>
      <c r="F41" s="45" t="s">
        <v>93</v>
      </c>
      <c r="G41" s="35">
        <v>5</v>
      </c>
      <c r="H41" s="35">
        <f t="shared" si="1"/>
        <v>65</v>
      </c>
      <c r="I41" s="29">
        <f t="shared" ref="I41" si="9">$D$6-H41</f>
        <v>43918</v>
      </c>
      <c r="J41" s="46"/>
      <c r="K41" s="48"/>
      <c r="L41" s="12"/>
      <c r="M41" s="13"/>
      <c r="N41" s="13"/>
      <c r="O41" s="13"/>
    </row>
    <row r="42" spans="1:15" s="14" customFormat="1" ht="22.5" customHeight="1">
      <c r="A42"/>
      <c r="B42" s="445"/>
      <c r="C42" s="456"/>
      <c r="D42" s="44" t="s">
        <v>660</v>
      </c>
      <c r="E42" s="45" t="s">
        <v>87</v>
      </c>
      <c r="F42" s="45"/>
      <c r="G42" s="35">
        <v>0</v>
      </c>
      <c r="H42" s="35">
        <f t="shared" si="1"/>
        <v>65</v>
      </c>
      <c r="I42" s="29">
        <f t="shared" si="2"/>
        <v>43918</v>
      </c>
      <c r="J42" s="46"/>
      <c r="K42" s="50"/>
      <c r="L42" s="12"/>
      <c r="M42" s="13"/>
      <c r="N42" s="13"/>
      <c r="O42" s="13"/>
    </row>
    <row r="43" spans="1:15" s="14" customFormat="1" ht="22.5" customHeight="1">
      <c r="A43"/>
      <c r="B43" s="445"/>
      <c r="C43" s="456"/>
      <c r="D43" s="44" t="s">
        <v>661</v>
      </c>
      <c r="E43" s="45" t="s">
        <v>86</v>
      </c>
      <c r="F43" s="45" t="s">
        <v>93</v>
      </c>
      <c r="G43" s="35">
        <v>5</v>
      </c>
      <c r="H43" s="35">
        <f t="shared" si="1"/>
        <v>60</v>
      </c>
      <c r="I43" s="29">
        <f t="shared" si="2"/>
        <v>43923</v>
      </c>
      <c r="J43" s="46"/>
      <c r="K43" s="51"/>
      <c r="L43" s="12"/>
      <c r="M43" s="13"/>
      <c r="N43" s="13"/>
      <c r="O43" s="13"/>
    </row>
    <row r="44" spans="1:15" s="14" customFormat="1" ht="22.5" customHeight="1">
      <c r="A44"/>
      <c r="B44" s="445"/>
      <c r="C44" s="456"/>
      <c r="D44" s="49" t="s">
        <v>88</v>
      </c>
      <c r="E44" s="45" t="s">
        <v>86</v>
      </c>
      <c r="F44" s="45" t="s">
        <v>93</v>
      </c>
      <c r="G44" s="35">
        <v>0</v>
      </c>
      <c r="H44" s="35">
        <f t="shared" si="1"/>
        <v>60</v>
      </c>
      <c r="I44" s="29">
        <f t="shared" si="2"/>
        <v>43923</v>
      </c>
      <c r="J44" s="46"/>
      <c r="K44" s="51"/>
      <c r="L44" s="12"/>
      <c r="M44" s="13"/>
      <c r="N44" s="13"/>
      <c r="O44" s="13"/>
    </row>
    <row r="45" spans="1:15" s="14" customFormat="1" ht="22.5" customHeight="1">
      <c r="A45"/>
      <c r="B45" s="445"/>
      <c r="C45" s="456"/>
      <c r="D45" s="44" t="s">
        <v>106</v>
      </c>
      <c r="E45" s="45" t="s">
        <v>86</v>
      </c>
      <c r="F45" s="45" t="s">
        <v>93</v>
      </c>
      <c r="G45" s="35">
        <v>0</v>
      </c>
      <c r="H45" s="35">
        <f t="shared" si="1"/>
        <v>60</v>
      </c>
      <c r="I45" s="29">
        <f t="shared" si="2"/>
        <v>43923</v>
      </c>
      <c r="J45" s="46"/>
      <c r="K45" s="47"/>
      <c r="L45" s="12"/>
      <c r="M45" s="13"/>
      <c r="N45" s="13"/>
      <c r="O45" s="13"/>
    </row>
    <row r="46" spans="1:15" s="14" customFormat="1" ht="22.5" customHeight="1">
      <c r="A46"/>
      <c r="B46" s="445"/>
      <c r="C46" s="456"/>
      <c r="D46" s="44" t="s">
        <v>36</v>
      </c>
      <c r="E46" s="45" t="s">
        <v>87</v>
      </c>
      <c r="F46" s="45"/>
      <c r="G46" s="35">
        <v>0</v>
      </c>
      <c r="H46" s="35">
        <f t="shared" si="1"/>
        <v>60</v>
      </c>
      <c r="I46" s="29">
        <f t="shared" si="2"/>
        <v>43923</v>
      </c>
      <c r="J46" s="15"/>
      <c r="K46" s="47"/>
      <c r="L46" s="12"/>
      <c r="M46" s="13"/>
      <c r="N46" s="13"/>
      <c r="O46" s="13"/>
    </row>
    <row r="47" spans="1:15" s="14" customFormat="1" ht="22.5" customHeight="1">
      <c r="A47"/>
      <c r="B47" s="445"/>
      <c r="C47" s="456"/>
      <c r="D47" s="44" t="s">
        <v>37</v>
      </c>
      <c r="E47" s="45" t="s">
        <v>86</v>
      </c>
      <c r="F47" s="45" t="s">
        <v>93</v>
      </c>
      <c r="G47" s="35">
        <v>0</v>
      </c>
      <c r="H47" s="35">
        <f t="shared" si="1"/>
        <v>60</v>
      </c>
      <c r="I47" s="29">
        <f t="shared" si="2"/>
        <v>43923</v>
      </c>
      <c r="J47" s="46"/>
      <c r="K47" s="51"/>
      <c r="L47" s="12"/>
      <c r="M47" s="13"/>
      <c r="N47" s="13"/>
      <c r="O47" s="13"/>
    </row>
    <row r="48" spans="1:15" s="14" customFormat="1" ht="22.5" customHeight="1">
      <c r="A48"/>
      <c r="B48" s="340"/>
      <c r="C48" s="457"/>
      <c r="D48" s="54" t="s">
        <v>653</v>
      </c>
      <c r="E48" s="45" t="s">
        <v>87</v>
      </c>
      <c r="F48" s="45"/>
      <c r="G48" s="35">
        <v>10</v>
      </c>
      <c r="H48" s="35">
        <f t="shared" si="1"/>
        <v>50</v>
      </c>
      <c r="I48" s="29">
        <f t="shared" si="2"/>
        <v>43933</v>
      </c>
      <c r="J48" s="46"/>
      <c r="K48" s="51"/>
      <c r="L48" s="12"/>
      <c r="M48" s="13"/>
      <c r="N48" s="13"/>
      <c r="O48" s="13"/>
    </row>
    <row r="49" spans="1:15" s="14" customFormat="1" ht="22.5" customHeight="1">
      <c r="A49"/>
      <c r="B49" s="446" t="s">
        <v>668</v>
      </c>
      <c r="C49" s="449">
        <v>30</v>
      </c>
      <c r="D49" s="338" t="s">
        <v>632</v>
      </c>
      <c r="E49" s="45" t="s">
        <v>87</v>
      </c>
      <c r="F49" s="45"/>
      <c r="G49" s="35">
        <v>0</v>
      </c>
      <c r="H49" s="35">
        <f t="shared" si="1"/>
        <v>50</v>
      </c>
      <c r="I49" s="29">
        <f t="shared" ref="I49:I76" si="10">$D$6-H49</f>
        <v>43933</v>
      </c>
      <c r="J49" s="46"/>
      <c r="K49" s="51"/>
      <c r="L49" s="12"/>
      <c r="M49" s="13"/>
      <c r="N49" s="13"/>
      <c r="O49" s="13"/>
    </row>
    <row r="50" spans="1:15" s="14" customFormat="1" ht="22.5" customHeight="1">
      <c r="A50"/>
      <c r="B50" s="447"/>
      <c r="C50" s="450"/>
      <c r="D50" s="54" t="s">
        <v>663</v>
      </c>
      <c r="E50" s="45" t="s">
        <v>87</v>
      </c>
      <c r="F50" s="45"/>
      <c r="G50" s="35">
        <v>0</v>
      </c>
      <c r="H50" s="35">
        <f t="shared" si="1"/>
        <v>50</v>
      </c>
      <c r="I50" s="29">
        <f t="shared" si="10"/>
        <v>43933</v>
      </c>
      <c r="J50" s="46"/>
      <c r="K50" s="47"/>
      <c r="L50" s="12"/>
      <c r="M50" s="13"/>
      <c r="N50" s="13"/>
      <c r="O50" s="13"/>
    </row>
    <row r="51" spans="1:15" s="14" customFormat="1" ht="22.5" customHeight="1">
      <c r="A51"/>
      <c r="B51" s="447"/>
      <c r="C51" s="450"/>
      <c r="D51" s="344" t="s">
        <v>654</v>
      </c>
      <c r="E51" s="45" t="s">
        <v>87</v>
      </c>
      <c r="F51" s="45"/>
      <c r="G51" s="35">
        <v>5</v>
      </c>
      <c r="H51" s="35">
        <f t="shared" si="1"/>
        <v>45</v>
      </c>
      <c r="I51" s="29">
        <f t="shared" ref="I51" si="11">$D$6-H51</f>
        <v>43938</v>
      </c>
      <c r="J51" s="46"/>
      <c r="K51" s="47"/>
      <c r="L51" s="12"/>
      <c r="M51" s="13"/>
      <c r="N51" s="13"/>
      <c r="O51" s="13"/>
    </row>
    <row r="52" spans="1:15" s="14" customFormat="1" ht="22.5" customHeight="1">
      <c r="A52"/>
      <c r="B52" s="447"/>
      <c r="C52" s="450"/>
      <c r="D52" s="44" t="s">
        <v>41</v>
      </c>
      <c r="E52" s="45" t="s">
        <v>87</v>
      </c>
      <c r="F52" s="45"/>
      <c r="G52" s="35">
        <v>0</v>
      </c>
      <c r="H52" s="35">
        <f t="shared" si="1"/>
        <v>45</v>
      </c>
      <c r="I52" s="29">
        <f t="shared" si="10"/>
        <v>43938</v>
      </c>
      <c r="J52" s="46"/>
      <c r="K52" s="47"/>
      <c r="L52" s="12"/>
      <c r="M52" s="13"/>
      <c r="N52" s="13"/>
      <c r="O52" s="13"/>
    </row>
    <row r="53" spans="1:15" s="14" customFormat="1" ht="22.5" customHeight="1">
      <c r="A53"/>
      <c r="B53" s="447"/>
      <c r="C53" s="450"/>
      <c r="D53" s="44" t="s">
        <v>42</v>
      </c>
      <c r="E53" s="45" t="s">
        <v>87</v>
      </c>
      <c r="F53" s="45"/>
      <c r="G53" s="35">
        <v>10</v>
      </c>
      <c r="H53" s="35">
        <f t="shared" si="1"/>
        <v>35</v>
      </c>
      <c r="I53" s="29">
        <f t="shared" si="10"/>
        <v>43948</v>
      </c>
      <c r="J53" s="46"/>
      <c r="K53" s="47"/>
      <c r="L53" s="12"/>
      <c r="M53" s="13"/>
      <c r="N53" s="13"/>
      <c r="O53" s="13"/>
    </row>
    <row r="54" spans="1:15" s="14" customFormat="1" ht="22.5" customHeight="1">
      <c r="A54"/>
      <c r="B54" s="447"/>
      <c r="C54" s="450"/>
      <c r="D54" s="44" t="s">
        <v>659</v>
      </c>
      <c r="E54" s="45" t="s">
        <v>87</v>
      </c>
      <c r="F54" s="45"/>
      <c r="G54" s="35">
        <v>25</v>
      </c>
      <c r="H54" s="35">
        <f t="shared" si="1"/>
        <v>10</v>
      </c>
      <c r="I54" s="29">
        <f t="shared" si="10"/>
        <v>43973</v>
      </c>
      <c r="J54" s="46"/>
      <c r="K54" s="47"/>
      <c r="L54" s="12"/>
      <c r="M54" s="13"/>
      <c r="N54" s="13"/>
      <c r="O54" s="13"/>
    </row>
    <row r="55" spans="1:15" s="14" customFormat="1" ht="22.5" customHeight="1">
      <c r="A55"/>
      <c r="B55" s="447"/>
      <c r="C55" s="450"/>
      <c r="D55" s="344" t="s">
        <v>655</v>
      </c>
      <c r="E55" s="45" t="s">
        <v>87</v>
      </c>
      <c r="F55" s="45"/>
      <c r="G55" s="35">
        <v>0</v>
      </c>
      <c r="H55" s="35">
        <f t="shared" si="1"/>
        <v>10</v>
      </c>
      <c r="I55" s="29">
        <f t="shared" si="10"/>
        <v>43973</v>
      </c>
      <c r="J55" s="46"/>
      <c r="K55" s="47"/>
      <c r="L55" s="12"/>
      <c r="M55" s="13"/>
      <c r="N55" s="13"/>
      <c r="O55" s="13"/>
    </row>
    <row r="56" spans="1:15" s="14" customFormat="1" ht="22.5" customHeight="1">
      <c r="A56"/>
      <c r="B56" s="447"/>
      <c r="C56" s="450"/>
      <c r="D56" s="344" t="s">
        <v>656</v>
      </c>
      <c r="E56" s="45" t="s">
        <v>87</v>
      </c>
      <c r="F56" s="45"/>
      <c r="G56" s="35">
        <v>0</v>
      </c>
      <c r="H56" s="35">
        <f t="shared" si="1"/>
        <v>10</v>
      </c>
      <c r="I56" s="29">
        <f t="shared" si="10"/>
        <v>43973</v>
      </c>
      <c r="J56" s="46"/>
      <c r="K56" s="47"/>
      <c r="L56" s="12"/>
      <c r="M56" s="13"/>
      <c r="N56" s="13"/>
      <c r="O56" s="13"/>
    </row>
    <row r="57" spans="1:15" s="14" customFormat="1" ht="22.5" customHeight="1">
      <c r="A57"/>
      <c r="B57" s="447"/>
      <c r="C57" s="450"/>
      <c r="D57" s="344" t="s">
        <v>657</v>
      </c>
      <c r="E57" s="45" t="s">
        <v>87</v>
      </c>
      <c r="F57" s="45"/>
      <c r="G57" s="35">
        <v>0</v>
      </c>
      <c r="H57" s="35">
        <f t="shared" si="1"/>
        <v>10</v>
      </c>
      <c r="I57" s="29">
        <f t="shared" si="10"/>
        <v>43973</v>
      </c>
      <c r="J57" s="46"/>
      <c r="K57" s="47"/>
      <c r="L57" s="12"/>
      <c r="M57" s="13"/>
      <c r="N57" s="13"/>
      <c r="O57" s="13"/>
    </row>
    <row r="58" spans="1:15" s="14" customFormat="1" ht="22.5" customHeight="1">
      <c r="A58"/>
      <c r="B58" s="447"/>
      <c r="C58" s="450"/>
      <c r="D58" s="344" t="s">
        <v>658</v>
      </c>
      <c r="E58" s="45" t="s">
        <v>87</v>
      </c>
      <c r="F58" s="45"/>
      <c r="G58" s="35">
        <v>0</v>
      </c>
      <c r="H58" s="35">
        <f t="shared" si="1"/>
        <v>10</v>
      </c>
      <c r="I58" s="29">
        <f t="shared" ref="I58" si="12">$D$6-H58</f>
        <v>43973</v>
      </c>
      <c r="J58" s="46"/>
      <c r="K58" s="47"/>
      <c r="L58" s="12"/>
      <c r="M58" s="13"/>
      <c r="N58" s="13"/>
      <c r="O58" s="13"/>
    </row>
    <row r="59" spans="1:15" s="14" customFormat="1" ht="22.5" customHeight="1">
      <c r="A59"/>
      <c r="B59" s="447"/>
      <c r="C59" s="450"/>
      <c r="D59" s="44" t="s">
        <v>100</v>
      </c>
      <c r="E59" s="45" t="s">
        <v>87</v>
      </c>
      <c r="F59" s="45"/>
      <c r="G59" s="35">
        <v>0</v>
      </c>
      <c r="H59" s="35">
        <f t="shared" si="1"/>
        <v>10</v>
      </c>
      <c r="I59" s="29">
        <f t="shared" si="10"/>
        <v>43973</v>
      </c>
      <c r="J59" s="46"/>
      <c r="K59" s="47"/>
      <c r="L59" s="12"/>
      <c r="M59" s="13"/>
      <c r="N59" s="13"/>
      <c r="O59" s="13"/>
    </row>
    <row r="60" spans="1:15" s="14" customFormat="1" ht="22.5" customHeight="1">
      <c r="A60"/>
      <c r="B60" s="447"/>
      <c r="C60" s="450"/>
      <c r="D60" s="44" t="s">
        <v>101</v>
      </c>
      <c r="E60" s="45" t="s">
        <v>86</v>
      </c>
      <c r="F60" s="45" t="s">
        <v>93</v>
      </c>
      <c r="G60" s="35">
        <v>0</v>
      </c>
      <c r="H60" s="35">
        <f t="shared" si="1"/>
        <v>10</v>
      </c>
      <c r="I60" s="29">
        <f t="shared" si="10"/>
        <v>43973</v>
      </c>
      <c r="J60" s="46"/>
      <c r="K60" s="47"/>
      <c r="L60" s="12"/>
      <c r="M60" s="13"/>
      <c r="N60" s="13"/>
      <c r="O60" s="13"/>
    </row>
    <row r="61" spans="1:15" s="14" customFormat="1" ht="22.5" customHeight="1">
      <c r="A61"/>
      <c r="B61" s="448"/>
      <c r="C61" s="451"/>
      <c r="D61" s="44" t="s">
        <v>99</v>
      </c>
      <c r="E61" s="45" t="s">
        <v>87</v>
      </c>
      <c r="F61" s="45"/>
      <c r="G61" s="35">
        <v>5</v>
      </c>
      <c r="H61" s="35">
        <f t="shared" si="1"/>
        <v>5</v>
      </c>
      <c r="I61" s="29">
        <f t="shared" si="10"/>
        <v>43978</v>
      </c>
      <c r="J61" s="46"/>
      <c r="K61" s="47"/>
      <c r="L61" s="12"/>
      <c r="M61" s="13"/>
      <c r="N61" s="13"/>
      <c r="O61" s="13"/>
    </row>
    <row r="62" spans="1:15" ht="22.5" customHeight="1">
      <c r="B62" s="423" t="s">
        <v>94</v>
      </c>
      <c r="C62" s="449"/>
      <c r="D62" s="337" t="s">
        <v>633</v>
      </c>
      <c r="E62" s="45" t="s">
        <v>87</v>
      </c>
      <c r="F62" s="55"/>
      <c r="G62" s="35">
        <v>0</v>
      </c>
      <c r="H62" s="35">
        <f t="shared" si="1"/>
        <v>5</v>
      </c>
      <c r="I62" s="29">
        <f t="shared" si="10"/>
        <v>43978</v>
      </c>
      <c r="J62" s="36"/>
      <c r="K62" s="16"/>
    </row>
    <row r="63" spans="1:15" ht="22.5" customHeight="1">
      <c r="B63" s="424"/>
      <c r="C63" s="450"/>
      <c r="D63" s="44" t="s">
        <v>107</v>
      </c>
      <c r="E63" s="45" t="s">
        <v>87</v>
      </c>
      <c r="F63" s="55"/>
      <c r="G63" s="35">
        <v>5</v>
      </c>
      <c r="H63" s="35">
        <f t="shared" si="1"/>
        <v>0</v>
      </c>
      <c r="I63" s="29">
        <f t="shared" si="10"/>
        <v>43983</v>
      </c>
      <c r="J63" s="36"/>
      <c r="K63" s="16"/>
    </row>
    <row r="64" spans="1:15" ht="22.5" customHeight="1">
      <c r="B64" s="424"/>
      <c r="C64" s="450"/>
      <c r="D64" s="56" t="s">
        <v>44</v>
      </c>
      <c r="E64" s="45" t="s">
        <v>87</v>
      </c>
      <c r="F64" s="55"/>
      <c r="G64" s="35">
        <v>0</v>
      </c>
      <c r="H64" s="35">
        <f t="shared" si="1"/>
        <v>0</v>
      </c>
      <c r="I64" s="29">
        <f t="shared" si="10"/>
        <v>43983</v>
      </c>
      <c r="J64" s="36"/>
      <c r="K64" s="16"/>
    </row>
    <row r="65" spans="1:15" ht="22.5" customHeight="1">
      <c r="B65" s="425"/>
      <c r="C65" s="451"/>
      <c r="D65" s="54" t="s">
        <v>73</v>
      </c>
      <c r="E65" s="45" t="s">
        <v>87</v>
      </c>
      <c r="F65" s="55"/>
      <c r="G65" s="35">
        <v>0</v>
      </c>
      <c r="H65" s="35">
        <f t="shared" si="1"/>
        <v>0</v>
      </c>
      <c r="I65" s="29">
        <f t="shared" si="10"/>
        <v>43983</v>
      </c>
      <c r="J65" s="36"/>
      <c r="K65" s="16"/>
    </row>
    <row r="66" spans="1:15" ht="22.5" customHeight="1">
      <c r="B66" s="440" t="s">
        <v>43</v>
      </c>
      <c r="C66" s="449">
        <v>5</v>
      </c>
      <c r="D66" s="54" t="s">
        <v>95</v>
      </c>
      <c r="E66" s="45" t="s">
        <v>87</v>
      </c>
      <c r="F66" s="55"/>
      <c r="G66" s="35">
        <v>0</v>
      </c>
      <c r="H66" s="35">
        <f t="shared" si="1"/>
        <v>0</v>
      </c>
      <c r="I66" s="29">
        <f t="shared" si="10"/>
        <v>43983</v>
      </c>
      <c r="J66" s="36"/>
      <c r="K66" s="16"/>
    </row>
    <row r="67" spans="1:15" s="14" customFormat="1" ht="22.5" customHeight="1">
      <c r="A67"/>
      <c r="B67" s="441"/>
      <c r="C67" s="450"/>
      <c r="D67" s="54" t="s">
        <v>45</v>
      </c>
      <c r="E67" s="45" t="s">
        <v>87</v>
      </c>
      <c r="F67" s="45"/>
      <c r="G67" s="35">
        <v>0</v>
      </c>
      <c r="H67" s="35">
        <f>H66-G67</f>
        <v>0</v>
      </c>
      <c r="I67" s="29">
        <f t="shared" si="10"/>
        <v>43983</v>
      </c>
      <c r="J67" s="46"/>
      <c r="K67" s="47"/>
      <c r="L67" s="12"/>
      <c r="M67" s="13"/>
      <c r="N67" s="13"/>
      <c r="O67" s="13"/>
    </row>
    <row r="68" spans="1:15" ht="22.5" customHeight="1">
      <c r="B68" s="441"/>
      <c r="C68" s="450"/>
      <c r="D68" s="54" t="s">
        <v>102</v>
      </c>
      <c r="E68" s="45" t="s">
        <v>87</v>
      </c>
      <c r="F68" s="55"/>
      <c r="G68" s="35">
        <v>0</v>
      </c>
      <c r="H68" s="35">
        <f>H67-G68</f>
        <v>0</v>
      </c>
      <c r="I68" s="29">
        <f t="shared" si="10"/>
        <v>43983</v>
      </c>
      <c r="J68" s="36"/>
      <c r="K68" s="16"/>
    </row>
    <row r="69" spans="1:15" ht="22.5" customHeight="1">
      <c r="B69" s="442"/>
      <c r="C69" s="451"/>
      <c r="D69" s="54" t="s">
        <v>89</v>
      </c>
      <c r="E69" s="45" t="s">
        <v>87</v>
      </c>
      <c r="F69" s="55"/>
      <c r="G69" s="35">
        <v>0</v>
      </c>
      <c r="H69" s="35">
        <f>H68-G69</f>
        <v>0</v>
      </c>
      <c r="I69" s="29">
        <f t="shared" si="10"/>
        <v>43983</v>
      </c>
      <c r="J69" s="36"/>
      <c r="K69" s="16"/>
    </row>
    <row r="70" spans="1:15" s="14" customFormat="1" ht="22.5" customHeight="1">
      <c r="A70"/>
      <c r="B70" s="437" t="s">
        <v>69</v>
      </c>
      <c r="C70" s="449">
        <v>5</v>
      </c>
      <c r="D70" s="54" t="s">
        <v>89</v>
      </c>
      <c r="E70" s="55" t="s">
        <v>90</v>
      </c>
      <c r="F70" s="45"/>
      <c r="G70" s="35">
        <v>5</v>
      </c>
      <c r="H70" s="35">
        <f t="shared" ref="H70:H85" si="13">H69-G70</f>
        <v>-5</v>
      </c>
      <c r="I70" s="29">
        <f t="shared" si="10"/>
        <v>43988</v>
      </c>
      <c r="J70" s="46"/>
      <c r="K70" s="47"/>
      <c r="L70" s="12"/>
      <c r="M70" s="13"/>
      <c r="N70" s="13"/>
      <c r="O70" s="13"/>
    </row>
    <row r="71" spans="1:15" s="14" customFormat="1" ht="22.5" customHeight="1">
      <c r="A71"/>
      <c r="B71" s="438"/>
      <c r="C71" s="450"/>
      <c r="D71" s="44" t="s">
        <v>70</v>
      </c>
      <c r="E71" s="55" t="s">
        <v>90</v>
      </c>
      <c r="F71" s="45"/>
      <c r="G71" s="35">
        <v>0</v>
      </c>
      <c r="H71" s="35">
        <f t="shared" si="13"/>
        <v>-5</v>
      </c>
      <c r="I71" s="29">
        <f t="shared" si="10"/>
        <v>43988</v>
      </c>
      <c r="J71" s="46"/>
      <c r="K71" s="47"/>
      <c r="L71" s="12"/>
      <c r="M71" s="13"/>
      <c r="N71" s="13"/>
      <c r="O71" s="13"/>
    </row>
    <row r="72" spans="1:15" s="14" customFormat="1" ht="22.5" customHeight="1">
      <c r="A72"/>
      <c r="B72" s="439"/>
      <c r="C72" s="451"/>
      <c r="D72" s="54" t="s">
        <v>96</v>
      </c>
      <c r="E72" s="55" t="s">
        <v>90</v>
      </c>
      <c r="F72" s="45"/>
      <c r="G72" s="35">
        <v>0</v>
      </c>
      <c r="H72" s="35">
        <f t="shared" si="13"/>
        <v>-5</v>
      </c>
      <c r="I72" s="29">
        <f t="shared" si="10"/>
        <v>43988</v>
      </c>
      <c r="J72" s="46"/>
      <c r="K72" s="47"/>
      <c r="L72" s="12"/>
      <c r="M72" s="13"/>
      <c r="N72" s="13"/>
      <c r="O72" s="13"/>
    </row>
    <row r="73" spans="1:15" s="14" customFormat="1" ht="22.5" customHeight="1">
      <c r="A73"/>
      <c r="B73" s="428" t="s">
        <v>74</v>
      </c>
      <c r="C73" s="449">
        <v>12</v>
      </c>
      <c r="D73" s="54" t="s">
        <v>76</v>
      </c>
      <c r="E73" s="45" t="s">
        <v>91</v>
      </c>
      <c r="F73" s="45"/>
      <c r="G73" s="35">
        <v>5</v>
      </c>
      <c r="H73" s="35">
        <f t="shared" si="13"/>
        <v>-10</v>
      </c>
      <c r="I73" s="29">
        <f t="shared" si="10"/>
        <v>43993</v>
      </c>
      <c r="J73" s="46"/>
      <c r="K73" s="47"/>
      <c r="L73" s="12"/>
      <c r="M73" s="13"/>
      <c r="N73" s="13"/>
      <c r="O73" s="13"/>
    </row>
    <row r="74" spans="1:15" s="14" customFormat="1" ht="22.5" customHeight="1">
      <c r="A74"/>
      <c r="B74" s="429"/>
      <c r="C74" s="450"/>
      <c r="D74" s="44" t="s">
        <v>71</v>
      </c>
      <c r="E74" s="45" t="s">
        <v>91</v>
      </c>
      <c r="F74" s="45"/>
      <c r="G74" s="35">
        <v>2</v>
      </c>
      <c r="H74" s="35">
        <f t="shared" si="13"/>
        <v>-12</v>
      </c>
      <c r="I74" s="29">
        <f t="shared" si="10"/>
        <v>43995</v>
      </c>
      <c r="J74" s="46"/>
      <c r="K74" s="47"/>
      <c r="L74" s="12"/>
      <c r="M74" s="13"/>
      <c r="N74" s="13"/>
      <c r="O74" s="13"/>
    </row>
    <row r="75" spans="1:15" s="14" customFormat="1" ht="22.5" customHeight="1">
      <c r="A75"/>
      <c r="B75" s="429"/>
      <c r="C75" s="450"/>
      <c r="D75" s="54" t="s">
        <v>89</v>
      </c>
      <c r="E75" s="45" t="s">
        <v>91</v>
      </c>
      <c r="F75" s="45"/>
      <c r="G75" s="35">
        <v>2</v>
      </c>
      <c r="H75" s="35">
        <f t="shared" si="13"/>
        <v>-14</v>
      </c>
      <c r="I75" s="29">
        <f t="shared" si="10"/>
        <v>43997</v>
      </c>
      <c r="J75" s="46"/>
      <c r="K75" s="47"/>
      <c r="L75" s="12"/>
      <c r="M75" s="13"/>
      <c r="N75" s="13"/>
      <c r="O75" s="13"/>
    </row>
    <row r="76" spans="1:15" ht="22.5" customHeight="1">
      <c r="B76" s="429"/>
      <c r="C76" s="450"/>
      <c r="D76" s="44" t="s">
        <v>77</v>
      </c>
      <c r="E76" s="45" t="s">
        <v>91</v>
      </c>
      <c r="F76" s="55"/>
      <c r="G76" s="35">
        <v>1</v>
      </c>
      <c r="H76" s="35">
        <f t="shared" si="13"/>
        <v>-15</v>
      </c>
      <c r="I76" s="29">
        <f t="shared" si="10"/>
        <v>43998</v>
      </c>
      <c r="J76" s="36"/>
      <c r="K76" s="16"/>
    </row>
    <row r="77" spans="1:15" ht="22.5" customHeight="1">
      <c r="B77" s="429"/>
      <c r="C77" s="450"/>
      <c r="D77" s="44" t="s">
        <v>78</v>
      </c>
      <c r="E77" s="45" t="s">
        <v>91</v>
      </c>
      <c r="F77" s="55"/>
      <c r="G77" s="35">
        <v>0</v>
      </c>
      <c r="H77" s="35">
        <f t="shared" si="13"/>
        <v>-15</v>
      </c>
      <c r="I77" s="29">
        <f t="shared" ref="I77:I80" si="14">$D$6-H77</f>
        <v>43998</v>
      </c>
      <c r="J77" s="36"/>
      <c r="K77" s="16"/>
    </row>
    <row r="78" spans="1:15" s="14" customFormat="1" ht="22.5" customHeight="1">
      <c r="A78"/>
      <c r="B78" s="429"/>
      <c r="C78" s="450"/>
      <c r="D78" s="44" t="s">
        <v>79</v>
      </c>
      <c r="E78" s="45" t="s">
        <v>91</v>
      </c>
      <c r="F78" s="45"/>
      <c r="G78" s="35">
        <v>0</v>
      </c>
      <c r="H78" s="35">
        <f t="shared" si="13"/>
        <v>-15</v>
      </c>
      <c r="I78" s="29">
        <f t="shared" si="14"/>
        <v>43998</v>
      </c>
      <c r="J78" s="46"/>
      <c r="K78" s="47"/>
      <c r="L78" s="12"/>
      <c r="M78" s="13"/>
      <c r="N78" s="13"/>
      <c r="O78" s="13"/>
    </row>
    <row r="79" spans="1:15" s="14" customFormat="1" ht="22.5" customHeight="1">
      <c r="A79"/>
      <c r="B79" s="429"/>
      <c r="C79" s="450"/>
      <c r="D79" s="44" t="s">
        <v>80</v>
      </c>
      <c r="E79" s="45" t="s">
        <v>91</v>
      </c>
      <c r="F79" s="45"/>
      <c r="G79" s="35">
        <v>0</v>
      </c>
      <c r="H79" s="35">
        <f t="shared" si="13"/>
        <v>-15</v>
      </c>
      <c r="I79" s="29">
        <f t="shared" si="14"/>
        <v>43998</v>
      </c>
      <c r="J79" s="46"/>
      <c r="K79" s="47"/>
      <c r="L79" s="12"/>
      <c r="M79" s="13"/>
      <c r="N79" s="13"/>
      <c r="O79" s="13"/>
    </row>
    <row r="80" spans="1:15" ht="22.5" customHeight="1">
      <c r="B80" s="430"/>
      <c r="C80" s="451"/>
      <c r="D80" s="44" t="s">
        <v>92</v>
      </c>
      <c r="E80" s="45" t="s">
        <v>91</v>
      </c>
      <c r="F80" s="55"/>
      <c r="G80" s="35">
        <v>2</v>
      </c>
      <c r="H80" s="35">
        <f t="shared" si="13"/>
        <v>-17</v>
      </c>
      <c r="I80" s="29">
        <f t="shared" si="14"/>
        <v>44000</v>
      </c>
      <c r="J80" s="36"/>
      <c r="K80" s="16"/>
    </row>
    <row r="81" spans="2:11" ht="20.25" customHeight="1">
      <c r="B81" s="431" t="s">
        <v>75</v>
      </c>
      <c r="C81" s="449">
        <v>12</v>
      </c>
      <c r="D81" s="54" t="s">
        <v>81</v>
      </c>
      <c r="E81" s="55" t="s">
        <v>75</v>
      </c>
      <c r="F81" s="55"/>
      <c r="G81" s="35">
        <v>4</v>
      </c>
      <c r="H81" s="35">
        <f t="shared" si="13"/>
        <v>-21</v>
      </c>
      <c r="I81" s="29">
        <f t="shared" ref="I81:I85" si="15">$D$6-H81</f>
        <v>44004</v>
      </c>
      <c r="J81" s="36"/>
      <c r="K81" s="16"/>
    </row>
    <row r="82" spans="2:11" ht="26.25" customHeight="1">
      <c r="B82" s="432"/>
      <c r="C82" s="450"/>
      <c r="D82" s="44" t="s">
        <v>82</v>
      </c>
      <c r="E82" s="55" t="s">
        <v>75</v>
      </c>
      <c r="F82" s="55"/>
      <c r="G82" s="35">
        <v>2</v>
      </c>
      <c r="H82" s="35">
        <f t="shared" si="13"/>
        <v>-23</v>
      </c>
      <c r="I82" s="29">
        <f t="shared" si="15"/>
        <v>44006</v>
      </c>
      <c r="J82" s="36"/>
      <c r="K82" s="16"/>
    </row>
    <row r="83" spans="2:11" ht="21.75" customHeight="1">
      <c r="B83" s="432"/>
      <c r="C83" s="450"/>
      <c r="D83" s="44" t="s">
        <v>635</v>
      </c>
      <c r="E83" s="55" t="s">
        <v>75</v>
      </c>
      <c r="F83" s="55"/>
      <c r="G83" s="35">
        <v>2</v>
      </c>
      <c r="H83" s="35">
        <f t="shared" si="13"/>
        <v>-25</v>
      </c>
      <c r="I83" s="29">
        <f t="shared" si="15"/>
        <v>44008</v>
      </c>
      <c r="J83" s="36"/>
      <c r="K83" s="16"/>
    </row>
    <row r="84" spans="2:11" ht="21.75" customHeight="1">
      <c r="B84" s="432"/>
      <c r="C84" s="450"/>
      <c r="D84" s="44" t="s">
        <v>83</v>
      </c>
      <c r="E84" s="55" t="s">
        <v>75</v>
      </c>
      <c r="F84" s="55"/>
      <c r="G84" s="35">
        <v>2</v>
      </c>
      <c r="H84" s="35">
        <f t="shared" si="13"/>
        <v>-27</v>
      </c>
      <c r="I84" s="29">
        <f t="shared" ref="I84" si="16">$D$6-H84</f>
        <v>44010</v>
      </c>
      <c r="J84" s="36"/>
      <c r="K84" s="16"/>
    </row>
    <row r="85" spans="2:11" ht="21.75" customHeight="1" thickBot="1">
      <c r="B85" s="433"/>
      <c r="C85" s="451"/>
      <c r="D85" s="54" t="s">
        <v>84</v>
      </c>
      <c r="E85" s="55" t="s">
        <v>75</v>
      </c>
      <c r="F85" s="55"/>
      <c r="G85" s="35">
        <v>2</v>
      </c>
      <c r="H85" s="35">
        <f t="shared" si="13"/>
        <v>-29</v>
      </c>
      <c r="I85" s="29">
        <f t="shared" si="15"/>
        <v>44012</v>
      </c>
      <c r="J85" s="36"/>
      <c r="K85" s="16"/>
    </row>
    <row r="86" spans="2:11" ht="21.75" customHeight="1" thickBot="1">
      <c r="B86" s="339"/>
      <c r="C86" s="353">
        <f>SUM(C9:C84)</f>
        <v>244</v>
      </c>
      <c r="D86" s="38"/>
      <c r="E86" s="406"/>
      <c r="F86" s="406"/>
      <c r="G86" s="406"/>
      <c r="H86" s="406"/>
      <c r="I86" s="406"/>
      <c r="J86" s="406"/>
      <c r="K86" s="407"/>
    </row>
    <row r="87" spans="2:11" ht="21.75" customHeight="1" thickBot="1">
      <c r="B87" s="210" t="s">
        <v>46</v>
      </c>
      <c r="C87" s="346"/>
      <c r="D87" s="209"/>
      <c r="E87" s="408"/>
      <c r="F87" s="408"/>
      <c r="G87" s="408"/>
      <c r="H87" s="408"/>
      <c r="I87" s="408"/>
      <c r="J87" s="408"/>
      <c r="K87" s="409"/>
    </row>
    <row r="88" spans="2:11" ht="15" customHeight="1" thickBot="1">
      <c r="B88" s="339"/>
      <c r="C88" s="349"/>
      <c r="D88" s="206" t="s">
        <v>47</v>
      </c>
      <c r="E88" s="421" t="s">
        <v>49</v>
      </c>
      <c r="F88" s="421"/>
      <c r="G88" s="421"/>
      <c r="H88" s="421"/>
      <c r="I88" s="421"/>
      <c r="J88" s="421"/>
      <c r="K88" s="422"/>
    </row>
    <row r="89" spans="2:11" ht="15" customHeight="1">
      <c r="B89" s="223"/>
      <c r="C89" s="347"/>
      <c r="D89" s="207" t="s">
        <v>48</v>
      </c>
      <c r="E89" s="421"/>
      <c r="F89" s="421"/>
      <c r="G89" s="421"/>
      <c r="H89" s="421"/>
      <c r="I89" s="421"/>
      <c r="J89" s="421"/>
      <c r="K89" s="422"/>
    </row>
    <row r="90" spans="2:11">
      <c r="B90" s="30"/>
      <c r="C90" s="348"/>
      <c r="D90" s="207" t="s">
        <v>380</v>
      </c>
      <c r="E90" s="421"/>
      <c r="F90" s="421"/>
      <c r="G90" s="421"/>
      <c r="H90" s="421"/>
      <c r="I90" s="421"/>
      <c r="J90" s="421"/>
      <c r="K90" s="422"/>
    </row>
    <row r="91" spans="2:11" ht="27" thickBot="1">
      <c r="B91" s="57"/>
      <c r="C91" s="350"/>
      <c r="D91" s="208" t="s">
        <v>50</v>
      </c>
      <c r="E91" s="421"/>
      <c r="F91" s="421"/>
      <c r="G91" s="421"/>
      <c r="H91" s="421"/>
      <c r="I91" s="421"/>
      <c r="J91" s="421"/>
      <c r="K91" s="422"/>
    </row>
    <row r="92" spans="2:11" ht="60.6" customHeight="1" thickBot="1">
      <c r="B92" s="410"/>
      <c r="C92" s="411"/>
      <c r="D92" s="411"/>
      <c r="E92" s="412" t="s">
        <v>51</v>
      </c>
      <c r="F92" s="413"/>
      <c r="G92" s="413"/>
      <c r="H92" s="413"/>
      <c r="I92" s="413"/>
      <c r="J92" s="413"/>
      <c r="K92" s="414"/>
    </row>
    <row r="93" spans="2:11">
      <c r="C93" s="351"/>
      <c r="D93" s="17"/>
      <c r="F93" s="18"/>
      <c r="G93"/>
      <c r="H93"/>
    </row>
  </sheetData>
  <mergeCells count="35">
    <mergeCell ref="C62:C65"/>
    <mergeCell ref="C66:C69"/>
    <mergeCell ref="C70:C72"/>
    <mergeCell ref="C73:C80"/>
    <mergeCell ref="C81:C85"/>
    <mergeCell ref="B13:B20"/>
    <mergeCell ref="B29:B47"/>
    <mergeCell ref="B49:B61"/>
    <mergeCell ref="C9:C12"/>
    <mergeCell ref="C13:C20"/>
    <mergeCell ref="C21:C22"/>
    <mergeCell ref="C23:C28"/>
    <mergeCell ref="C29:C48"/>
    <mergeCell ref="C49:C61"/>
    <mergeCell ref="B1:K1"/>
    <mergeCell ref="B2:K2"/>
    <mergeCell ref="J5:K7"/>
    <mergeCell ref="E86:K87"/>
    <mergeCell ref="B92:D92"/>
    <mergeCell ref="E92:K92"/>
    <mergeCell ref="E3:I7"/>
    <mergeCell ref="E88:K91"/>
    <mergeCell ref="B62:B65"/>
    <mergeCell ref="B23:B28"/>
    <mergeCell ref="B73:B80"/>
    <mergeCell ref="B81:B85"/>
    <mergeCell ref="B9:B12"/>
    <mergeCell ref="B21:B22"/>
    <mergeCell ref="B70:B72"/>
    <mergeCell ref="B66:B69"/>
    <mergeCell ref="B3:C3"/>
    <mergeCell ref="B4:C4"/>
    <mergeCell ref="B5:C5"/>
    <mergeCell ref="B6:C6"/>
    <mergeCell ref="B7:C7"/>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0B9F2-799A-43AA-87CD-625484EEC9D3}">
  <sheetPr codeName="Sheet7"/>
  <dimension ref="B1:Q32"/>
  <sheetViews>
    <sheetView topLeftCell="A2" zoomScaleNormal="100" workbookViewId="0">
      <selection activeCell="M4" sqref="M4"/>
    </sheetView>
  </sheetViews>
  <sheetFormatPr defaultRowHeight="15"/>
  <cols>
    <col min="2" max="2" width="19.28515625" bestFit="1" customWidth="1"/>
    <col min="3" max="3" width="66.28515625" bestFit="1" customWidth="1"/>
    <col min="4" max="4" width="16.7109375" customWidth="1"/>
    <col min="5" max="5" width="16.7109375" style="17" customWidth="1"/>
    <col min="6" max="6" width="11" bestFit="1" customWidth="1"/>
    <col min="7" max="7" width="14.85546875" customWidth="1"/>
    <col min="8" max="8" width="15.140625" customWidth="1"/>
    <col min="9" max="9" width="19.28515625" customWidth="1"/>
    <col min="12" max="12" width="16.140625" bestFit="1" customWidth="1"/>
    <col min="13" max="13" width="8.42578125" bestFit="1" customWidth="1"/>
  </cols>
  <sheetData>
    <row r="1" spans="2:17" s="8" customFormat="1" ht="83.25" customHeight="1">
      <c r="B1" s="399"/>
      <c r="C1" s="400"/>
      <c r="D1" s="400"/>
      <c r="E1" s="400"/>
      <c r="F1" s="400"/>
      <c r="G1" s="400"/>
      <c r="H1" s="400"/>
      <c r="I1" s="400"/>
      <c r="J1" s="400"/>
      <c r="K1" s="400"/>
      <c r="L1" s="400"/>
      <c r="M1" s="401"/>
    </row>
    <row r="2" spans="2:17" ht="40.5" customHeight="1">
      <c r="B2" s="494" t="s">
        <v>155</v>
      </c>
      <c r="C2" s="495"/>
      <c r="D2" s="495"/>
      <c r="E2" s="495"/>
      <c r="F2" s="495"/>
      <c r="G2" s="495"/>
      <c r="H2" s="495"/>
      <c r="I2" s="495"/>
      <c r="J2" s="495"/>
      <c r="K2" s="495"/>
      <c r="L2" s="495"/>
      <c r="M2" s="496"/>
    </row>
    <row r="3" spans="2:17" s="9" customFormat="1" ht="24.75" customHeight="1">
      <c r="B3" s="19" t="s">
        <v>23</v>
      </c>
      <c r="C3" s="20"/>
      <c r="D3" s="458"/>
      <c r="E3" s="459"/>
      <c r="F3" s="459"/>
      <c r="G3" s="459"/>
      <c r="H3" s="459"/>
      <c r="I3" s="459"/>
      <c r="J3" s="459"/>
      <c r="K3" s="460"/>
      <c r="L3" s="70" t="s">
        <v>170</v>
      </c>
      <c r="M3" s="140">
        <v>43420</v>
      </c>
    </row>
    <row r="4" spans="2:17" s="9" customFormat="1" ht="16.5" customHeight="1">
      <c r="B4" s="31" t="s">
        <v>3</v>
      </c>
      <c r="C4" s="21"/>
      <c r="D4" s="461"/>
      <c r="E4" s="462"/>
      <c r="F4" s="462"/>
      <c r="G4" s="462"/>
      <c r="H4" s="462"/>
      <c r="I4" s="462"/>
      <c r="J4" s="462"/>
      <c r="K4" s="462"/>
      <c r="L4" s="40" t="s">
        <v>5</v>
      </c>
      <c r="M4" s="203"/>
    </row>
    <row r="5" spans="2:17" s="9" customFormat="1" ht="16.5" customHeight="1">
      <c r="B5" s="32" t="s">
        <v>72</v>
      </c>
      <c r="C5" s="22"/>
      <c r="D5" s="463"/>
      <c r="E5" s="402"/>
      <c r="F5" s="402"/>
      <c r="G5" s="402"/>
      <c r="H5" s="402"/>
      <c r="I5" s="402"/>
      <c r="J5" s="402"/>
      <c r="K5" s="402"/>
      <c r="L5" s="402"/>
      <c r="M5" s="403"/>
    </row>
    <row r="6" spans="2:17" s="9" customFormat="1" ht="16.5" customHeight="1">
      <c r="B6" s="43" t="s">
        <v>312</v>
      </c>
      <c r="C6" s="163"/>
      <c r="D6" s="463"/>
      <c r="E6" s="402"/>
      <c r="F6" s="402"/>
      <c r="G6" s="402"/>
      <c r="H6" s="402"/>
      <c r="I6" s="402"/>
      <c r="J6" s="402"/>
      <c r="K6" s="402"/>
      <c r="L6" s="402"/>
      <c r="M6" s="403"/>
    </row>
    <row r="7" spans="2:17" s="9" customFormat="1" ht="16.5" customHeight="1">
      <c r="B7" s="33"/>
      <c r="C7" s="23"/>
      <c r="D7" s="464"/>
      <c r="E7" s="404"/>
      <c r="F7" s="404"/>
      <c r="G7" s="404"/>
      <c r="H7" s="404"/>
      <c r="I7" s="404"/>
      <c r="J7" s="404"/>
      <c r="K7" s="404"/>
      <c r="L7" s="404"/>
      <c r="M7" s="405"/>
    </row>
    <row r="8" spans="2:17" s="8" customFormat="1" ht="66" customHeight="1">
      <c r="B8" s="164" t="s">
        <v>24</v>
      </c>
      <c r="C8" s="71" t="s">
        <v>52</v>
      </c>
      <c r="D8" s="10" t="s">
        <v>53</v>
      </c>
      <c r="E8" s="10" t="s">
        <v>27</v>
      </c>
      <c r="F8" s="166" t="s">
        <v>28</v>
      </c>
      <c r="G8" s="167" t="s">
        <v>97</v>
      </c>
      <c r="H8" s="168" t="s">
        <v>54</v>
      </c>
      <c r="I8" s="168" t="s">
        <v>176</v>
      </c>
      <c r="J8" s="497" t="s">
        <v>477</v>
      </c>
      <c r="K8" s="497"/>
      <c r="L8" s="497"/>
      <c r="M8" s="498"/>
      <c r="N8" s="24"/>
      <c r="O8" s="24"/>
      <c r="P8" s="24"/>
      <c r="Q8" s="24"/>
    </row>
    <row r="9" spans="2:17">
      <c r="B9" s="465" t="s">
        <v>314</v>
      </c>
      <c r="C9" s="25" t="s">
        <v>470</v>
      </c>
      <c r="D9" s="26"/>
      <c r="E9" s="11"/>
      <c r="F9" s="29">
        <f>$F$12-G9</f>
        <v>43346</v>
      </c>
      <c r="G9" s="35">
        <v>120</v>
      </c>
      <c r="H9" s="27"/>
      <c r="I9" s="244" t="s">
        <v>475</v>
      </c>
      <c r="J9" s="470" t="s">
        <v>478</v>
      </c>
      <c r="K9" s="471"/>
      <c r="L9" s="471"/>
      <c r="M9" s="472"/>
    </row>
    <row r="10" spans="2:17">
      <c r="B10" s="466"/>
      <c r="C10" s="25" t="s">
        <v>474</v>
      </c>
      <c r="D10" s="26"/>
      <c r="E10" s="11"/>
      <c r="F10" s="29">
        <f>$F$12-G10</f>
        <v>43346</v>
      </c>
      <c r="G10" s="35">
        <v>120</v>
      </c>
      <c r="H10" s="27"/>
      <c r="I10" s="244" t="s">
        <v>475</v>
      </c>
      <c r="J10" s="470" t="s">
        <v>476</v>
      </c>
      <c r="K10" s="471"/>
      <c r="L10" s="471"/>
      <c r="M10" s="472"/>
    </row>
    <row r="11" spans="2:17">
      <c r="B11" s="467"/>
      <c r="C11" s="25" t="s">
        <v>55</v>
      </c>
      <c r="D11" s="26"/>
      <c r="E11" s="11"/>
      <c r="F11" s="29">
        <f t="shared" ref="F11:F27" si="0">$F$12-G11</f>
        <v>43347</v>
      </c>
      <c r="G11" s="35">
        <v>119</v>
      </c>
      <c r="H11" s="27"/>
      <c r="I11" s="244" t="s">
        <v>475</v>
      </c>
      <c r="J11" s="470"/>
      <c r="K11" s="471"/>
      <c r="L11" s="471"/>
      <c r="M11" s="472"/>
    </row>
    <row r="12" spans="2:17">
      <c r="B12" s="468" t="s">
        <v>315</v>
      </c>
      <c r="C12" s="25" t="s">
        <v>56</v>
      </c>
      <c r="D12" s="26"/>
      <c r="E12" s="11"/>
      <c r="F12" s="29">
        <v>43466</v>
      </c>
      <c r="G12" s="35">
        <v>0</v>
      </c>
      <c r="H12" s="28"/>
      <c r="I12" s="244" t="s">
        <v>475</v>
      </c>
      <c r="J12" s="470"/>
      <c r="K12" s="471"/>
      <c r="L12" s="471"/>
      <c r="M12" s="472"/>
    </row>
    <row r="13" spans="2:17">
      <c r="B13" s="469"/>
      <c r="C13" s="25" t="s">
        <v>67</v>
      </c>
      <c r="D13" s="26"/>
      <c r="E13" s="11"/>
      <c r="F13" s="29">
        <f>$F$12-G13</f>
        <v>43369</v>
      </c>
      <c r="G13" s="35">
        <v>97</v>
      </c>
      <c r="H13" s="28"/>
      <c r="I13" s="244" t="s">
        <v>475</v>
      </c>
      <c r="J13" s="470"/>
      <c r="K13" s="471"/>
      <c r="L13" s="471"/>
      <c r="M13" s="472"/>
    </row>
    <row r="14" spans="2:17">
      <c r="B14" s="473" t="s">
        <v>317</v>
      </c>
      <c r="C14" s="25" t="s">
        <v>66</v>
      </c>
      <c r="D14" s="26"/>
      <c r="E14" s="11"/>
      <c r="F14" s="29">
        <f>$F$12-G14</f>
        <v>43369</v>
      </c>
      <c r="G14" s="35">
        <v>97</v>
      </c>
      <c r="H14" s="28"/>
      <c r="I14" s="244" t="s">
        <v>475</v>
      </c>
      <c r="J14" s="470"/>
      <c r="K14" s="471"/>
      <c r="L14" s="471"/>
      <c r="M14" s="472"/>
    </row>
    <row r="15" spans="2:17">
      <c r="B15" s="473"/>
      <c r="C15" s="25" t="s">
        <v>57</v>
      </c>
      <c r="D15" s="26"/>
      <c r="E15" s="11"/>
      <c r="F15" s="29">
        <f t="shared" si="0"/>
        <v>43348</v>
      </c>
      <c r="G15" s="34">
        <v>118</v>
      </c>
      <c r="H15" s="28"/>
      <c r="I15" s="244" t="s">
        <v>475</v>
      </c>
      <c r="J15" s="470"/>
      <c r="K15" s="471"/>
      <c r="L15" s="471"/>
      <c r="M15" s="472"/>
    </row>
    <row r="16" spans="2:17">
      <c r="B16" s="473"/>
      <c r="C16" s="25" t="s">
        <v>58</v>
      </c>
      <c r="D16" s="26"/>
      <c r="E16" s="11"/>
      <c r="F16" s="29">
        <f t="shared" si="0"/>
        <v>43348</v>
      </c>
      <c r="G16" s="34">
        <v>118</v>
      </c>
      <c r="H16" s="28"/>
      <c r="I16" s="244" t="s">
        <v>475</v>
      </c>
      <c r="J16" s="470"/>
      <c r="K16" s="471"/>
      <c r="L16" s="471"/>
      <c r="M16" s="472"/>
    </row>
    <row r="17" spans="2:13">
      <c r="B17" s="473"/>
      <c r="C17" s="25" t="s">
        <v>313</v>
      </c>
      <c r="D17" s="26"/>
      <c r="E17" s="11"/>
      <c r="F17" s="29"/>
      <c r="G17" s="34"/>
      <c r="H17" s="28"/>
      <c r="I17" s="244" t="s">
        <v>475</v>
      </c>
      <c r="J17" s="170"/>
      <c r="K17" s="171"/>
      <c r="L17" s="171"/>
      <c r="M17" s="172"/>
    </row>
    <row r="18" spans="2:13">
      <c r="B18" s="473"/>
      <c r="C18" s="25" t="s">
        <v>68</v>
      </c>
      <c r="D18" s="26"/>
      <c r="E18" s="11"/>
      <c r="F18" s="29">
        <f>$F$12-G18</f>
        <v>43369</v>
      </c>
      <c r="G18" s="35">
        <v>97</v>
      </c>
      <c r="H18" s="28"/>
      <c r="I18" s="244" t="s">
        <v>475</v>
      </c>
      <c r="J18" s="470"/>
      <c r="K18" s="471"/>
      <c r="L18" s="471"/>
      <c r="M18" s="472"/>
    </row>
    <row r="19" spans="2:13">
      <c r="B19" s="473"/>
      <c r="C19" s="25" t="s">
        <v>59</v>
      </c>
      <c r="D19" s="26"/>
      <c r="E19" s="11"/>
      <c r="F19" s="29">
        <f t="shared" si="0"/>
        <v>43348</v>
      </c>
      <c r="G19" s="34">
        <v>118</v>
      </c>
      <c r="H19" s="28"/>
      <c r="I19" s="244" t="s">
        <v>475</v>
      </c>
      <c r="J19" s="470"/>
      <c r="K19" s="471"/>
      <c r="L19" s="471"/>
      <c r="M19" s="472"/>
    </row>
    <row r="20" spans="2:13">
      <c r="B20" s="474"/>
      <c r="C20" s="25" t="s">
        <v>65</v>
      </c>
      <c r="D20" s="26"/>
      <c r="E20" s="11"/>
      <c r="F20" s="29">
        <f>$F$12-G20</f>
        <v>43369</v>
      </c>
      <c r="G20" s="35">
        <v>97</v>
      </c>
      <c r="H20" s="28"/>
      <c r="I20" s="244" t="s">
        <v>475</v>
      </c>
      <c r="J20" s="470"/>
      <c r="K20" s="471"/>
      <c r="L20" s="471"/>
      <c r="M20" s="472"/>
    </row>
    <row r="21" spans="2:13">
      <c r="B21" s="475" t="s">
        <v>318</v>
      </c>
      <c r="C21" s="25" t="s">
        <v>60</v>
      </c>
      <c r="D21" s="26"/>
      <c r="E21" s="11"/>
      <c r="F21" s="29">
        <f t="shared" si="0"/>
        <v>43348</v>
      </c>
      <c r="G21" s="34">
        <v>118</v>
      </c>
      <c r="H21" s="28"/>
      <c r="I21" s="244" t="s">
        <v>475</v>
      </c>
      <c r="J21" s="470"/>
      <c r="K21" s="471"/>
      <c r="L21" s="471"/>
      <c r="M21" s="472"/>
    </row>
    <row r="22" spans="2:13">
      <c r="B22" s="476"/>
      <c r="C22" s="25" t="s">
        <v>61</v>
      </c>
      <c r="D22" s="26"/>
      <c r="E22" s="11"/>
      <c r="F22" s="29">
        <f t="shared" si="0"/>
        <v>43349</v>
      </c>
      <c r="G22" s="35">
        <v>117</v>
      </c>
      <c r="H22" s="28"/>
      <c r="I22" s="244" t="s">
        <v>475</v>
      </c>
      <c r="J22" s="470"/>
      <c r="K22" s="471"/>
      <c r="L22" s="471"/>
      <c r="M22" s="472"/>
    </row>
    <row r="23" spans="2:13">
      <c r="B23" s="477"/>
      <c r="C23" s="25" t="s">
        <v>62</v>
      </c>
      <c r="D23" s="26"/>
      <c r="E23" s="11"/>
      <c r="F23" s="29">
        <f t="shared" si="0"/>
        <v>43362</v>
      </c>
      <c r="G23" s="35">
        <v>104</v>
      </c>
      <c r="H23" s="28"/>
      <c r="I23" s="244" t="s">
        <v>475</v>
      </c>
      <c r="J23" s="470"/>
      <c r="K23" s="471"/>
      <c r="L23" s="471"/>
      <c r="M23" s="472"/>
    </row>
    <row r="24" spans="2:13">
      <c r="B24" s="478" t="s">
        <v>316</v>
      </c>
      <c r="C24" s="25" t="s">
        <v>63</v>
      </c>
      <c r="D24" s="26"/>
      <c r="E24" s="11"/>
      <c r="F24" s="29">
        <f t="shared" si="0"/>
        <v>43369</v>
      </c>
      <c r="G24" s="35">
        <v>97</v>
      </c>
      <c r="H24" s="28"/>
      <c r="I24" s="244" t="s">
        <v>475</v>
      </c>
      <c r="J24" s="470"/>
      <c r="K24" s="471"/>
      <c r="L24" s="471"/>
      <c r="M24" s="472"/>
    </row>
    <row r="25" spans="2:13">
      <c r="B25" s="479"/>
      <c r="C25" s="25" t="s">
        <v>64</v>
      </c>
      <c r="D25" s="26"/>
      <c r="E25" s="11"/>
      <c r="F25" s="29">
        <f t="shared" si="0"/>
        <v>43369</v>
      </c>
      <c r="G25" s="35">
        <v>97</v>
      </c>
      <c r="H25" s="28"/>
      <c r="I25" s="244" t="s">
        <v>475</v>
      </c>
      <c r="J25" s="470"/>
      <c r="K25" s="471"/>
      <c r="L25" s="471"/>
      <c r="M25" s="472"/>
    </row>
    <row r="26" spans="2:13">
      <c r="B26" s="479"/>
      <c r="C26" s="25" t="s">
        <v>156</v>
      </c>
      <c r="D26" s="26"/>
      <c r="E26" s="11"/>
      <c r="F26" s="29">
        <f t="shared" si="0"/>
        <v>43369</v>
      </c>
      <c r="G26" s="35">
        <v>97</v>
      </c>
      <c r="H26" s="28"/>
      <c r="I26" s="244" t="s">
        <v>475</v>
      </c>
      <c r="J26" s="470"/>
      <c r="K26" s="471"/>
      <c r="L26" s="471"/>
      <c r="M26" s="472"/>
    </row>
    <row r="27" spans="2:13">
      <c r="B27" s="480"/>
      <c r="C27" s="25" t="s">
        <v>157</v>
      </c>
      <c r="D27" s="26"/>
      <c r="E27" s="11"/>
      <c r="F27" s="29">
        <f t="shared" si="0"/>
        <v>43369</v>
      </c>
      <c r="G27" s="35">
        <v>97</v>
      </c>
      <c r="H27" s="28"/>
      <c r="I27" s="244" t="s">
        <v>475</v>
      </c>
      <c r="J27" s="470"/>
      <c r="K27" s="471"/>
      <c r="L27" s="471"/>
      <c r="M27" s="472"/>
    </row>
    <row r="28" spans="2:13" ht="18" customHeight="1">
      <c r="B28" s="499"/>
      <c r="C28" s="500"/>
      <c r="D28" s="500"/>
      <c r="E28" s="501"/>
      <c r="F28" s="501"/>
      <c r="G28" s="501"/>
      <c r="H28" s="501"/>
      <c r="I28" s="501"/>
      <c r="J28" s="501"/>
      <c r="K28" s="501"/>
      <c r="L28" s="501"/>
      <c r="M28" s="16"/>
    </row>
    <row r="29" spans="2:13" ht="21" customHeight="1">
      <c r="B29" s="481"/>
      <c r="C29" s="482"/>
      <c r="D29" s="482"/>
      <c r="E29" s="487" t="s">
        <v>49</v>
      </c>
      <c r="F29" s="487"/>
      <c r="G29" s="487"/>
      <c r="H29" s="487"/>
      <c r="I29" s="487"/>
      <c r="J29" s="487"/>
      <c r="K29" s="487"/>
      <c r="L29" s="487"/>
      <c r="M29" s="488"/>
    </row>
    <row r="30" spans="2:13" ht="21" customHeight="1">
      <c r="B30" s="483"/>
      <c r="C30" s="484"/>
      <c r="D30" s="484"/>
      <c r="E30" s="489"/>
      <c r="F30" s="489"/>
      <c r="G30" s="489"/>
      <c r="H30" s="489"/>
      <c r="I30" s="489"/>
      <c r="J30" s="489"/>
      <c r="K30" s="489"/>
      <c r="L30" s="489"/>
      <c r="M30" s="490"/>
    </row>
    <row r="31" spans="2:13" ht="21" customHeight="1">
      <c r="B31" s="483"/>
      <c r="C31" s="484"/>
      <c r="D31" s="484"/>
      <c r="E31" s="489"/>
      <c r="F31" s="489"/>
      <c r="G31" s="489"/>
      <c r="H31" s="489"/>
      <c r="I31" s="489"/>
      <c r="J31" s="489"/>
      <c r="K31" s="489"/>
      <c r="L31" s="489"/>
      <c r="M31" s="490"/>
    </row>
    <row r="32" spans="2:13" ht="60.6" customHeight="1" thickBot="1">
      <c r="B32" s="485"/>
      <c r="C32" s="486"/>
      <c r="D32" s="486"/>
      <c r="E32" s="491" t="s">
        <v>51</v>
      </c>
      <c r="F32" s="492"/>
      <c r="G32" s="492"/>
      <c r="H32" s="492"/>
      <c r="I32" s="492"/>
      <c r="J32" s="492"/>
      <c r="K32" s="492"/>
      <c r="L32" s="492"/>
      <c r="M32" s="493"/>
    </row>
  </sheetData>
  <mergeCells count="34">
    <mergeCell ref="B1:M1"/>
    <mergeCell ref="B2:M2"/>
    <mergeCell ref="J8:M8"/>
    <mergeCell ref="B28:D28"/>
    <mergeCell ref="E28:L28"/>
    <mergeCell ref="J9:M9"/>
    <mergeCell ref="J11:M11"/>
    <mergeCell ref="J12:M12"/>
    <mergeCell ref="J15:M15"/>
    <mergeCell ref="J16:M16"/>
    <mergeCell ref="J19:M19"/>
    <mergeCell ref="J13:M13"/>
    <mergeCell ref="J27:M27"/>
    <mergeCell ref="J24:M24"/>
    <mergeCell ref="J25:M25"/>
    <mergeCell ref="J20:M20"/>
    <mergeCell ref="B14:B20"/>
    <mergeCell ref="B21:B23"/>
    <mergeCell ref="B24:B27"/>
    <mergeCell ref="B29:D32"/>
    <mergeCell ref="E29:M31"/>
    <mergeCell ref="E32:M32"/>
    <mergeCell ref="J14:M14"/>
    <mergeCell ref="J21:M21"/>
    <mergeCell ref="J22:M22"/>
    <mergeCell ref="J23:M23"/>
    <mergeCell ref="J18:M18"/>
    <mergeCell ref="J26:M26"/>
    <mergeCell ref="D3:K3"/>
    <mergeCell ref="D4:K7"/>
    <mergeCell ref="L5:M7"/>
    <mergeCell ref="B9:B11"/>
    <mergeCell ref="B12:B13"/>
    <mergeCell ref="J10:M10"/>
  </mergeCells>
  <hyperlinks>
    <hyperlink ref="I9" r:id="rId1" display="QA Reports" xr:uid="{038A63A2-5878-4CA5-87FE-2B9A9B4DB733}"/>
    <hyperlink ref="I10:I27" r:id="rId2" display="QA Reports" xr:uid="{4D357FFB-7DFC-49E1-9BFC-EB5974073F8B}"/>
  </hyperlinks>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1E7D0-756A-42E8-80D8-2FD78C7AC31B}">
  <sheetPr codeName="Sheet14"/>
  <dimension ref="B1:Q42"/>
  <sheetViews>
    <sheetView topLeftCell="A7" zoomScaleNormal="100" workbookViewId="0">
      <selection activeCell="C37" sqref="C37"/>
    </sheetView>
  </sheetViews>
  <sheetFormatPr defaultRowHeight="15"/>
  <cols>
    <col min="2" max="2" width="19.28515625" bestFit="1" customWidth="1"/>
    <col min="3" max="3" width="66.28515625" bestFit="1" customWidth="1"/>
    <col min="4" max="4" width="16.7109375" customWidth="1"/>
    <col min="5" max="5" width="16.7109375" style="17" customWidth="1"/>
    <col min="6" max="6" width="11" bestFit="1" customWidth="1"/>
    <col min="7" max="7" width="14.85546875" customWidth="1"/>
    <col min="8" max="8" width="15.140625" customWidth="1"/>
    <col min="9" max="9" width="19.28515625" customWidth="1"/>
    <col min="12" max="12" width="16.140625" bestFit="1" customWidth="1"/>
    <col min="13" max="13" width="8.42578125" bestFit="1" customWidth="1"/>
  </cols>
  <sheetData>
    <row r="1" spans="2:17" s="8" customFormat="1" ht="83.25" customHeight="1">
      <c r="B1" s="399"/>
      <c r="C1" s="400"/>
      <c r="D1" s="400"/>
      <c r="E1" s="400"/>
      <c r="F1" s="400"/>
      <c r="G1" s="400"/>
      <c r="H1" s="400"/>
      <c r="I1" s="400"/>
      <c r="J1" s="400"/>
      <c r="K1" s="400"/>
      <c r="L1" s="400"/>
      <c r="M1" s="401"/>
    </row>
    <row r="2" spans="2:17" ht="40.5" customHeight="1">
      <c r="B2" s="494" t="s">
        <v>482</v>
      </c>
      <c r="C2" s="495"/>
      <c r="D2" s="495"/>
      <c r="E2" s="495"/>
      <c r="F2" s="495"/>
      <c r="G2" s="495"/>
      <c r="H2" s="495"/>
      <c r="I2" s="495"/>
      <c r="J2" s="495"/>
      <c r="K2" s="495"/>
      <c r="L2" s="495"/>
      <c r="M2" s="496"/>
    </row>
    <row r="3" spans="2:17" s="9" customFormat="1" ht="24.75" customHeight="1">
      <c r="B3" s="19" t="s">
        <v>23</v>
      </c>
      <c r="C3" s="20"/>
      <c r="D3" s="458"/>
      <c r="E3" s="459"/>
      <c r="F3" s="459"/>
      <c r="G3" s="459"/>
      <c r="H3" s="459"/>
      <c r="I3" s="459"/>
      <c r="J3" s="459"/>
      <c r="K3" s="460"/>
      <c r="L3" s="70" t="s">
        <v>170</v>
      </c>
      <c r="M3" s="140">
        <v>43420</v>
      </c>
    </row>
    <row r="4" spans="2:17" s="9" customFormat="1" ht="16.5" customHeight="1">
      <c r="B4" s="31" t="s">
        <v>3</v>
      </c>
      <c r="C4" s="21"/>
      <c r="D4" s="461"/>
      <c r="E4" s="462"/>
      <c r="F4" s="462"/>
      <c r="G4" s="462"/>
      <c r="H4" s="462"/>
      <c r="I4" s="462"/>
      <c r="J4" s="462"/>
      <c r="K4" s="462"/>
      <c r="L4" s="40" t="s">
        <v>5</v>
      </c>
      <c r="M4" s="203"/>
    </row>
    <row r="5" spans="2:17" s="9" customFormat="1" ht="16.5" customHeight="1">
      <c r="B5" s="32" t="s">
        <v>72</v>
      </c>
      <c r="C5" s="22"/>
      <c r="D5" s="463"/>
      <c r="E5" s="402"/>
      <c r="F5" s="402"/>
      <c r="G5" s="402"/>
      <c r="H5" s="402"/>
      <c r="I5" s="402"/>
      <c r="J5" s="402"/>
      <c r="K5" s="402"/>
      <c r="L5" s="402"/>
      <c r="M5" s="403"/>
    </row>
    <row r="6" spans="2:17" s="9" customFormat="1" ht="16.5" customHeight="1">
      <c r="B6" s="43" t="s">
        <v>312</v>
      </c>
      <c r="C6" s="163"/>
      <c r="D6" s="463"/>
      <c r="E6" s="402"/>
      <c r="F6" s="402"/>
      <c r="G6" s="402"/>
      <c r="H6" s="402"/>
      <c r="I6" s="402"/>
      <c r="J6" s="402"/>
      <c r="K6" s="402"/>
      <c r="L6" s="402"/>
      <c r="M6" s="403"/>
    </row>
    <row r="7" spans="2:17" s="9" customFormat="1" ht="16.5" customHeight="1">
      <c r="B7" s="33"/>
      <c r="C7" s="23"/>
      <c r="D7" s="464"/>
      <c r="E7" s="404"/>
      <c r="F7" s="404"/>
      <c r="G7" s="404"/>
      <c r="H7" s="404"/>
      <c r="I7" s="404"/>
      <c r="J7" s="404"/>
      <c r="K7" s="404"/>
      <c r="L7" s="404"/>
      <c r="M7" s="405"/>
    </row>
    <row r="8" spans="2:17" s="8" customFormat="1" ht="66" customHeight="1">
      <c r="B8" s="164" t="s">
        <v>24</v>
      </c>
      <c r="C8" s="71" t="s">
        <v>52</v>
      </c>
      <c r="D8" s="10" t="s">
        <v>53</v>
      </c>
      <c r="E8" s="10" t="s">
        <v>27</v>
      </c>
      <c r="F8" s="166" t="s">
        <v>28</v>
      </c>
      <c r="G8" s="167" t="s">
        <v>97</v>
      </c>
      <c r="H8" s="168" t="s">
        <v>54</v>
      </c>
      <c r="I8" s="168" t="s">
        <v>176</v>
      </c>
      <c r="J8" s="497" t="s">
        <v>477</v>
      </c>
      <c r="K8" s="497"/>
      <c r="L8" s="497"/>
      <c r="M8" s="498"/>
      <c r="N8" s="24"/>
      <c r="O8" s="24"/>
      <c r="P8" s="24"/>
      <c r="Q8" s="24"/>
    </row>
    <row r="9" spans="2:17">
      <c r="B9" s="502" t="s">
        <v>484</v>
      </c>
      <c r="C9" s="25" t="s">
        <v>483</v>
      </c>
      <c r="D9" s="26"/>
      <c r="E9" s="11"/>
      <c r="F9" s="29">
        <f>$F$19-G9</f>
        <v>43346</v>
      </c>
      <c r="G9" s="35">
        <v>120</v>
      </c>
      <c r="H9" s="27"/>
      <c r="I9" s="244" t="s">
        <v>475</v>
      </c>
      <c r="J9" s="470" t="s">
        <v>478</v>
      </c>
      <c r="K9" s="471"/>
      <c r="L9" s="471"/>
      <c r="M9" s="472"/>
    </row>
    <row r="10" spans="2:17">
      <c r="B10" s="503"/>
      <c r="C10" s="25" t="s">
        <v>489</v>
      </c>
      <c r="D10" s="26"/>
      <c r="E10" s="11"/>
      <c r="F10" s="29">
        <f>$F$19-G10</f>
        <v>43346</v>
      </c>
      <c r="G10" s="35">
        <v>120</v>
      </c>
      <c r="H10" s="27"/>
      <c r="I10" s="244" t="s">
        <v>475</v>
      </c>
      <c r="J10" s="470" t="s">
        <v>476</v>
      </c>
      <c r="K10" s="471"/>
      <c r="L10" s="471"/>
      <c r="M10" s="472"/>
    </row>
    <row r="11" spans="2:17">
      <c r="B11" s="503"/>
      <c r="C11" s="25" t="s">
        <v>490</v>
      </c>
      <c r="D11" s="26"/>
      <c r="E11" s="11"/>
      <c r="F11" s="29">
        <f>$F$19-G11</f>
        <v>43346</v>
      </c>
      <c r="G11" s="35">
        <v>120</v>
      </c>
      <c r="H11" s="27"/>
      <c r="I11" s="244" t="s">
        <v>475</v>
      </c>
      <c r="J11" s="470" t="s">
        <v>476</v>
      </c>
      <c r="K11" s="471"/>
      <c r="L11" s="471"/>
      <c r="M11" s="472"/>
    </row>
    <row r="12" spans="2:17">
      <c r="B12" s="503"/>
      <c r="C12" s="25" t="s">
        <v>491</v>
      </c>
      <c r="D12" s="26"/>
      <c r="E12" s="11"/>
      <c r="F12" s="29">
        <f>$F$19-G12</f>
        <v>43346</v>
      </c>
      <c r="G12" s="35">
        <v>120</v>
      </c>
      <c r="H12" s="27"/>
      <c r="I12" s="244" t="s">
        <v>475</v>
      </c>
      <c r="J12" s="470" t="s">
        <v>476</v>
      </c>
      <c r="K12" s="471"/>
      <c r="L12" s="471"/>
      <c r="M12" s="472"/>
    </row>
    <row r="13" spans="2:17">
      <c r="B13" s="503"/>
      <c r="C13" s="25" t="s">
        <v>492</v>
      </c>
      <c r="D13" s="26"/>
      <c r="E13" s="11"/>
      <c r="F13" s="29">
        <f>$F$19-G13</f>
        <v>43346</v>
      </c>
      <c r="G13" s="35">
        <v>120</v>
      </c>
      <c r="H13" s="27"/>
      <c r="I13" s="244" t="s">
        <v>475</v>
      </c>
      <c r="J13" s="470" t="s">
        <v>476</v>
      </c>
      <c r="K13" s="471"/>
      <c r="L13" s="471"/>
      <c r="M13" s="472"/>
    </row>
    <row r="14" spans="2:17">
      <c r="B14" s="504"/>
      <c r="C14" s="25" t="s">
        <v>493</v>
      </c>
      <c r="D14" s="26"/>
      <c r="E14" s="11"/>
      <c r="F14" s="29">
        <f t="shared" ref="F14" si="0">$F$19-G14</f>
        <v>43347</v>
      </c>
      <c r="G14" s="35">
        <v>119</v>
      </c>
      <c r="H14" s="27"/>
      <c r="I14" s="244" t="s">
        <v>475</v>
      </c>
      <c r="J14" s="470"/>
      <c r="K14" s="471"/>
      <c r="L14" s="471"/>
      <c r="M14" s="472"/>
    </row>
    <row r="15" spans="2:17">
      <c r="B15" s="465" t="s">
        <v>314</v>
      </c>
      <c r="C15" s="25" t="s">
        <v>494</v>
      </c>
      <c r="D15" s="26"/>
      <c r="E15" s="11"/>
      <c r="F15" s="29">
        <f t="shared" ref="F15" si="1">$F$19-G15</f>
        <v>43347</v>
      </c>
      <c r="G15" s="35">
        <v>119</v>
      </c>
      <c r="H15" s="27"/>
      <c r="I15" s="244" t="s">
        <v>475</v>
      </c>
      <c r="J15" s="470"/>
      <c r="K15" s="471"/>
      <c r="L15" s="471"/>
      <c r="M15" s="472"/>
    </row>
    <row r="16" spans="2:17" ht="15" customHeight="1">
      <c r="B16" s="466"/>
      <c r="C16" s="25" t="s">
        <v>470</v>
      </c>
      <c r="D16" s="26"/>
      <c r="E16" s="11"/>
      <c r="F16" s="29">
        <f>$F$19-G16</f>
        <v>43346</v>
      </c>
      <c r="G16" s="35">
        <v>120</v>
      </c>
      <c r="H16" s="27"/>
      <c r="I16" s="244" t="s">
        <v>475</v>
      </c>
      <c r="J16" s="470" t="s">
        <v>478</v>
      </c>
      <c r="K16" s="471"/>
      <c r="L16" s="471"/>
      <c r="M16" s="472"/>
    </row>
    <row r="17" spans="2:13" ht="15" customHeight="1">
      <c r="B17" s="466"/>
      <c r="C17" s="25" t="s">
        <v>474</v>
      </c>
      <c r="D17" s="26"/>
      <c r="E17" s="11"/>
      <c r="F17" s="29">
        <f>$F$19-G17</f>
        <v>43346</v>
      </c>
      <c r="G17" s="35">
        <v>120</v>
      </c>
      <c r="H17" s="27"/>
      <c r="I17" s="244" t="s">
        <v>475</v>
      </c>
      <c r="J17" s="470" t="s">
        <v>476</v>
      </c>
      <c r="K17" s="471"/>
      <c r="L17" s="471"/>
      <c r="M17" s="472"/>
    </row>
    <row r="18" spans="2:13" ht="15" customHeight="1">
      <c r="B18" s="467"/>
      <c r="C18" s="25" t="s">
        <v>55</v>
      </c>
      <c r="D18" s="26"/>
      <c r="E18" s="11"/>
      <c r="F18" s="29">
        <f t="shared" ref="F18:F36" si="2">$F$19-G18</f>
        <v>43347</v>
      </c>
      <c r="G18" s="35">
        <v>119</v>
      </c>
      <c r="H18" s="27"/>
      <c r="I18" s="244" t="s">
        <v>475</v>
      </c>
      <c r="J18" s="470"/>
      <c r="K18" s="471"/>
      <c r="L18" s="471"/>
      <c r="M18" s="472"/>
    </row>
    <row r="19" spans="2:13">
      <c r="B19" s="468" t="s">
        <v>315</v>
      </c>
      <c r="C19" s="25" t="s">
        <v>485</v>
      </c>
      <c r="D19" s="26"/>
      <c r="E19" s="11"/>
      <c r="F19" s="29">
        <v>43466</v>
      </c>
      <c r="G19" s="35">
        <v>0</v>
      </c>
      <c r="H19" s="28"/>
      <c r="I19" s="244" t="s">
        <v>475</v>
      </c>
      <c r="J19" s="470"/>
      <c r="K19" s="471"/>
      <c r="L19" s="471"/>
      <c r="M19" s="472"/>
    </row>
    <row r="20" spans="2:13">
      <c r="B20" s="469"/>
      <c r="C20" s="25" t="s">
        <v>67</v>
      </c>
      <c r="D20" s="26"/>
      <c r="E20" s="11"/>
      <c r="F20" s="29">
        <f>$F$19-G20</f>
        <v>43369</v>
      </c>
      <c r="G20" s="35">
        <v>97</v>
      </c>
      <c r="H20" s="28"/>
      <c r="I20" s="244" t="s">
        <v>475</v>
      </c>
      <c r="J20" s="470"/>
      <c r="K20" s="471"/>
      <c r="L20" s="471"/>
      <c r="M20" s="472"/>
    </row>
    <row r="21" spans="2:13">
      <c r="B21" s="473" t="s">
        <v>317</v>
      </c>
      <c r="C21" s="25" t="s">
        <v>66</v>
      </c>
      <c r="D21" s="26"/>
      <c r="E21" s="11"/>
      <c r="F21" s="29">
        <f>$F$19-G21</f>
        <v>43369</v>
      </c>
      <c r="G21" s="35">
        <v>97</v>
      </c>
      <c r="H21" s="28"/>
      <c r="I21" s="244" t="s">
        <v>475</v>
      </c>
      <c r="J21" s="470"/>
      <c r="K21" s="471"/>
      <c r="L21" s="471"/>
      <c r="M21" s="472"/>
    </row>
    <row r="22" spans="2:13">
      <c r="B22" s="473"/>
      <c r="C22" s="25" t="s">
        <v>57</v>
      </c>
      <c r="D22" s="26"/>
      <c r="E22" s="11"/>
      <c r="F22" s="29">
        <f t="shared" si="2"/>
        <v>43348</v>
      </c>
      <c r="G22" s="34">
        <v>118</v>
      </c>
      <c r="H22" s="28"/>
      <c r="I22" s="244" t="s">
        <v>475</v>
      </c>
      <c r="J22" s="470"/>
      <c r="K22" s="471"/>
      <c r="L22" s="471"/>
      <c r="M22" s="472"/>
    </row>
    <row r="23" spans="2:13">
      <c r="B23" s="473"/>
      <c r="C23" s="25" t="s">
        <v>58</v>
      </c>
      <c r="D23" s="26"/>
      <c r="E23" s="11"/>
      <c r="F23" s="29">
        <f t="shared" si="2"/>
        <v>43348</v>
      </c>
      <c r="G23" s="34">
        <v>118</v>
      </c>
      <c r="H23" s="28"/>
      <c r="I23" s="244" t="s">
        <v>475</v>
      </c>
      <c r="J23" s="470"/>
      <c r="K23" s="471"/>
      <c r="L23" s="471"/>
      <c r="M23" s="472"/>
    </row>
    <row r="24" spans="2:13">
      <c r="B24" s="473"/>
      <c r="C24" s="25" t="s">
        <v>313</v>
      </c>
      <c r="D24" s="26"/>
      <c r="E24" s="11"/>
      <c r="F24" s="29"/>
      <c r="G24" s="34"/>
      <c r="H24" s="28"/>
      <c r="I24" s="244" t="s">
        <v>475</v>
      </c>
      <c r="J24" s="170"/>
      <c r="K24" s="171"/>
      <c r="L24" s="171"/>
      <c r="M24" s="172"/>
    </row>
    <row r="25" spans="2:13">
      <c r="B25" s="473"/>
      <c r="C25" s="25" t="s">
        <v>486</v>
      </c>
      <c r="D25" s="26"/>
      <c r="E25" s="11"/>
      <c r="F25" s="29">
        <f>$F$19-G25</f>
        <v>43369</v>
      </c>
      <c r="G25" s="35">
        <v>97</v>
      </c>
      <c r="H25" s="28"/>
      <c r="I25" s="244" t="s">
        <v>475</v>
      </c>
      <c r="J25" s="470"/>
      <c r="K25" s="471"/>
      <c r="L25" s="471"/>
      <c r="M25" s="472"/>
    </row>
    <row r="26" spans="2:13">
      <c r="B26" s="473"/>
      <c r="C26" s="25" t="s">
        <v>59</v>
      </c>
      <c r="D26" s="26"/>
      <c r="E26" s="11"/>
      <c r="F26" s="29">
        <f t="shared" si="2"/>
        <v>43348</v>
      </c>
      <c r="G26" s="34">
        <v>118</v>
      </c>
      <c r="H26" s="28"/>
      <c r="I26" s="244" t="s">
        <v>475</v>
      </c>
      <c r="J26" s="470"/>
      <c r="K26" s="471"/>
      <c r="L26" s="471"/>
      <c r="M26" s="472"/>
    </row>
    <row r="27" spans="2:13">
      <c r="B27" s="473"/>
      <c r="C27" s="25" t="s">
        <v>496</v>
      </c>
      <c r="D27" s="26"/>
      <c r="E27" s="11"/>
      <c r="F27" s="29">
        <f>$F$19-G27</f>
        <v>43369</v>
      </c>
      <c r="G27" s="35">
        <v>97</v>
      </c>
      <c r="H27" s="28"/>
      <c r="I27" s="244" t="s">
        <v>475</v>
      </c>
      <c r="J27" s="470"/>
      <c r="K27" s="471"/>
      <c r="L27" s="471"/>
      <c r="M27" s="472"/>
    </row>
    <row r="28" spans="2:13">
      <c r="B28" s="474"/>
      <c r="C28" s="25" t="s">
        <v>65</v>
      </c>
      <c r="D28" s="26"/>
      <c r="E28" s="11"/>
      <c r="F28" s="29">
        <f>$F$19-G28</f>
        <v>43369</v>
      </c>
      <c r="G28" s="35">
        <v>97</v>
      </c>
      <c r="H28" s="28"/>
      <c r="I28" s="244" t="s">
        <v>475</v>
      </c>
      <c r="J28" s="470"/>
      <c r="K28" s="471"/>
      <c r="L28" s="471"/>
      <c r="M28" s="472"/>
    </row>
    <row r="29" spans="2:13" ht="15.75">
      <c r="B29" s="246" t="s">
        <v>487</v>
      </c>
      <c r="C29" s="25" t="s">
        <v>488</v>
      </c>
      <c r="D29" s="26"/>
      <c r="E29" s="11"/>
      <c r="F29" s="29">
        <f>$F$19-G29</f>
        <v>43369</v>
      </c>
      <c r="G29" s="35">
        <v>97</v>
      </c>
      <c r="H29" s="28"/>
      <c r="I29" s="244" t="s">
        <v>475</v>
      </c>
      <c r="J29" s="470"/>
      <c r="K29" s="471"/>
      <c r="L29" s="471"/>
      <c r="M29" s="472"/>
    </row>
    <row r="30" spans="2:13">
      <c r="B30" s="475" t="s">
        <v>318</v>
      </c>
      <c r="C30" s="25" t="s">
        <v>60</v>
      </c>
      <c r="D30" s="26"/>
      <c r="E30" s="11"/>
      <c r="F30" s="29">
        <f t="shared" si="2"/>
        <v>43348</v>
      </c>
      <c r="G30" s="34">
        <v>118</v>
      </c>
      <c r="H30" s="28"/>
      <c r="I30" s="244" t="s">
        <v>475</v>
      </c>
      <c r="J30" s="470"/>
      <c r="K30" s="471"/>
      <c r="L30" s="471"/>
      <c r="M30" s="472"/>
    </row>
    <row r="31" spans="2:13">
      <c r="B31" s="476"/>
      <c r="C31" s="25" t="s">
        <v>61</v>
      </c>
      <c r="D31" s="26"/>
      <c r="E31" s="11"/>
      <c r="F31" s="29">
        <f t="shared" si="2"/>
        <v>43349</v>
      </c>
      <c r="G31" s="35">
        <v>117</v>
      </c>
      <c r="H31" s="28"/>
      <c r="I31" s="244" t="s">
        <v>475</v>
      </c>
      <c r="J31" s="470"/>
      <c r="K31" s="471"/>
      <c r="L31" s="471"/>
      <c r="M31" s="472"/>
    </row>
    <row r="32" spans="2:13">
      <c r="B32" s="477"/>
      <c r="C32" s="25" t="s">
        <v>62</v>
      </c>
      <c r="D32" s="26"/>
      <c r="E32" s="11"/>
      <c r="F32" s="29">
        <f t="shared" si="2"/>
        <v>43362</v>
      </c>
      <c r="G32" s="35">
        <v>104</v>
      </c>
      <c r="H32" s="28"/>
      <c r="I32" s="244" t="s">
        <v>475</v>
      </c>
      <c r="J32" s="470"/>
      <c r="K32" s="471"/>
      <c r="L32" s="471"/>
      <c r="M32" s="472"/>
    </row>
    <row r="33" spans="2:13">
      <c r="B33" s="478" t="s">
        <v>316</v>
      </c>
      <c r="C33" s="25" t="s">
        <v>63</v>
      </c>
      <c r="D33" s="26"/>
      <c r="E33" s="11"/>
      <c r="F33" s="29">
        <f t="shared" si="2"/>
        <v>43369</v>
      </c>
      <c r="G33" s="35">
        <v>97</v>
      </c>
      <c r="H33" s="28"/>
      <c r="I33" s="244" t="s">
        <v>475</v>
      </c>
      <c r="J33" s="470"/>
      <c r="K33" s="471"/>
      <c r="L33" s="471"/>
      <c r="M33" s="472"/>
    </row>
    <row r="34" spans="2:13">
      <c r="B34" s="479"/>
      <c r="C34" s="25" t="s">
        <v>495</v>
      </c>
      <c r="D34" s="26"/>
      <c r="E34" s="11"/>
      <c r="F34" s="29">
        <f t="shared" si="2"/>
        <v>43369</v>
      </c>
      <c r="G34" s="35">
        <v>97</v>
      </c>
      <c r="H34" s="28"/>
      <c r="I34" s="244" t="s">
        <v>475</v>
      </c>
      <c r="J34" s="470"/>
      <c r="K34" s="471"/>
      <c r="L34" s="471"/>
      <c r="M34" s="472"/>
    </row>
    <row r="35" spans="2:13">
      <c r="B35" s="479"/>
      <c r="C35" s="25" t="s">
        <v>156</v>
      </c>
      <c r="D35" s="26"/>
      <c r="E35" s="11"/>
      <c r="F35" s="29">
        <f t="shared" si="2"/>
        <v>43369</v>
      </c>
      <c r="G35" s="35">
        <v>97</v>
      </c>
      <c r="H35" s="28"/>
      <c r="I35" s="244" t="s">
        <v>475</v>
      </c>
      <c r="J35" s="470"/>
      <c r="K35" s="471"/>
      <c r="L35" s="471"/>
      <c r="M35" s="472"/>
    </row>
    <row r="36" spans="2:13">
      <c r="B36" s="480"/>
      <c r="C36" s="25" t="s">
        <v>157</v>
      </c>
      <c r="D36" s="26"/>
      <c r="E36" s="11"/>
      <c r="F36" s="29">
        <f t="shared" si="2"/>
        <v>43369</v>
      </c>
      <c r="G36" s="35">
        <v>97</v>
      </c>
      <c r="H36" s="28"/>
      <c r="I36" s="244" t="s">
        <v>475</v>
      </c>
      <c r="J36" s="470"/>
      <c r="K36" s="471"/>
      <c r="L36" s="471"/>
      <c r="M36" s="472"/>
    </row>
    <row r="37" spans="2:13" ht="15.75">
      <c r="B37" s="245"/>
      <c r="C37" s="25" t="s">
        <v>497</v>
      </c>
      <c r="D37" s="26"/>
      <c r="E37" s="11"/>
      <c r="F37" s="29">
        <f t="shared" ref="F37" si="3">$F$19-G37</f>
        <v>43369</v>
      </c>
      <c r="G37" s="35">
        <v>97</v>
      </c>
      <c r="H37" s="28"/>
      <c r="I37" s="244" t="s">
        <v>475</v>
      </c>
      <c r="J37" s="470"/>
      <c r="K37" s="471"/>
      <c r="L37" s="471"/>
      <c r="M37" s="472"/>
    </row>
    <row r="38" spans="2:13" ht="18" customHeight="1">
      <c r="B38" s="499"/>
      <c r="C38" s="500"/>
      <c r="D38" s="500"/>
      <c r="E38" s="501"/>
      <c r="F38" s="501"/>
      <c r="G38" s="501"/>
      <c r="H38" s="501"/>
      <c r="I38" s="501"/>
      <c r="J38" s="501"/>
      <c r="K38" s="501"/>
      <c r="L38" s="501"/>
      <c r="M38" s="16"/>
    </row>
    <row r="39" spans="2:13" ht="21" customHeight="1">
      <c r="B39" s="481"/>
      <c r="C39" s="482"/>
      <c r="D39" s="482"/>
      <c r="E39" s="487" t="s">
        <v>49</v>
      </c>
      <c r="F39" s="487"/>
      <c r="G39" s="487"/>
      <c r="H39" s="487"/>
      <c r="I39" s="487"/>
      <c r="J39" s="487"/>
      <c r="K39" s="487"/>
      <c r="L39" s="487"/>
      <c r="M39" s="488"/>
    </row>
    <row r="40" spans="2:13" ht="21" customHeight="1">
      <c r="B40" s="483"/>
      <c r="C40" s="484"/>
      <c r="D40" s="484"/>
      <c r="E40" s="489"/>
      <c r="F40" s="489"/>
      <c r="G40" s="489"/>
      <c r="H40" s="489"/>
      <c r="I40" s="489"/>
      <c r="J40" s="489"/>
      <c r="K40" s="489"/>
      <c r="L40" s="489"/>
      <c r="M40" s="490"/>
    </row>
    <row r="41" spans="2:13" ht="21" customHeight="1">
      <c r="B41" s="483"/>
      <c r="C41" s="484"/>
      <c r="D41" s="484"/>
      <c r="E41" s="489"/>
      <c r="F41" s="489"/>
      <c r="G41" s="489"/>
      <c r="H41" s="489"/>
      <c r="I41" s="489"/>
      <c r="J41" s="489"/>
      <c r="K41" s="489"/>
      <c r="L41" s="489"/>
      <c r="M41" s="490"/>
    </row>
    <row r="42" spans="2:13" ht="60.6" customHeight="1" thickBot="1">
      <c r="B42" s="485"/>
      <c r="C42" s="486"/>
      <c r="D42" s="486"/>
      <c r="E42" s="491" t="s">
        <v>51</v>
      </c>
      <c r="F42" s="492"/>
      <c r="G42" s="492"/>
      <c r="H42" s="492"/>
      <c r="I42" s="492"/>
      <c r="J42" s="492"/>
      <c r="K42" s="492"/>
      <c r="L42" s="492"/>
      <c r="M42" s="493"/>
    </row>
  </sheetData>
  <mergeCells count="45">
    <mergeCell ref="J8:M8"/>
    <mergeCell ref="B1:M1"/>
    <mergeCell ref="B2:M2"/>
    <mergeCell ref="D3:K3"/>
    <mergeCell ref="D4:K7"/>
    <mergeCell ref="L5:M7"/>
    <mergeCell ref="B9:B14"/>
    <mergeCell ref="J9:M9"/>
    <mergeCell ref="J10:M10"/>
    <mergeCell ref="J14:M14"/>
    <mergeCell ref="J27:M27"/>
    <mergeCell ref="B21:B28"/>
    <mergeCell ref="J21:M21"/>
    <mergeCell ref="J22:M22"/>
    <mergeCell ref="J23:M23"/>
    <mergeCell ref="J25:M25"/>
    <mergeCell ref="J26:M26"/>
    <mergeCell ref="J28:M28"/>
    <mergeCell ref="J16:M16"/>
    <mergeCell ref="J17:M17"/>
    <mergeCell ref="J18:M18"/>
    <mergeCell ref="B19:B20"/>
    <mergeCell ref="B15:B18"/>
    <mergeCell ref="J29:M29"/>
    <mergeCell ref="B38:D38"/>
    <mergeCell ref="E38:L38"/>
    <mergeCell ref="B39:D42"/>
    <mergeCell ref="E39:M41"/>
    <mergeCell ref="E42:M42"/>
    <mergeCell ref="B30:B32"/>
    <mergeCell ref="J30:M30"/>
    <mergeCell ref="J31:M31"/>
    <mergeCell ref="J32:M32"/>
    <mergeCell ref="B33:B36"/>
    <mergeCell ref="J33:M33"/>
    <mergeCell ref="J34:M34"/>
    <mergeCell ref="J35:M35"/>
    <mergeCell ref="J36:M36"/>
    <mergeCell ref="J37:M37"/>
    <mergeCell ref="J11:M11"/>
    <mergeCell ref="J12:M12"/>
    <mergeCell ref="J13:M13"/>
    <mergeCell ref="J15:M15"/>
    <mergeCell ref="J19:M19"/>
    <mergeCell ref="J20:M20"/>
  </mergeCells>
  <hyperlinks>
    <hyperlink ref="I16" r:id="rId1" display="QA Reports" xr:uid="{892BEEB0-C8CF-4B5B-B9F1-3445B86A39F2}"/>
    <hyperlink ref="I17:I36" r:id="rId2" display="QA Reports" xr:uid="{2E733778-8551-4C44-84C3-83E16F098FDA}"/>
    <hyperlink ref="I9" r:id="rId3" display="QA Reports" xr:uid="{2BAFD379-0FE2-4FEB-AD4A-AC9BE3C90A36}"/>
    <hyperlink ref="I10:I14" r:id="rId4" display="QA Reports" xr:uid="{D841B629-3E6F-46C2-A994-696F21D155F7}"/>
    <hyperlink ref="I27" r:id="rId5" display="QA Reports" xr:uid="{5358CC45-2321-4599-A861-34569B0A054D}"/>
    <hyperlink ref="I29" r:id="rId6" display="QA Reports" xr:uid="{6BA1E3AA-1977-48E9-A31E-291959BC7C17}"/>
    <hyperlink ref="I11" r:id="rId7" display="QA Reports" xr:uid="{23343B0E-81E0-4614-BF38-D2ACA35D2DD8}"/>
    <hyperlink ref="I12" r:id="rId8" display="QA Reports" xr:uid="{F1D4ABF3-3A51-4333-A97A-FD43CDB2829E}"/>
    <hyperlink ref="I13" r:id="rId9" display="QA Reports" xr:uid="{C6CC992D-D244-422B-91C6-5B540442FFDD}"/>
    <hyperlink ref="I15" r:id="rId10" display="QA Reports" xr:uid="{C801950B-5C4F-45D4-ADA5-2CDDD7BCBA55}"/>
    <hyperlink ref="I37" r:id="rId11" display="QA Reports" xr:uid="{7CD8F62D-5195-4A56-BD8B-2745D0617CCF}"/>
  </hyperlinks>
  <pageMargins left="0.7" right="0.7" top="0.75" bottom="0.75" header="0.3" footer="0.3"/>
  <drawing r:id="rId1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F930C-3F6B-41A9-9D33-EE1B5A25A788}">
  <sheetPr codeName="Sheet15"/>
  <dimension ref="A1:H64"/>
  <sheetViews>
    <sheetView zoomScaleNormal="100" workbookViewId="0">
      <selection activeCell="E47" sqref="E47"/>
    </sheetView>
  </sheetViews>
  <sheetFormatPr defaultRowHeight="15"/>
  <cols>
    <col min="2" max="2" width="17.7109375" customWidth="1"/>
    <col min="3" max="3" width="18.140625" customWidth="1"/>
    <col min="4" max="4" width="25.5703125" customWidth="1"/>
    <col min="5" max="5" width="16.140625" bestFit="1" customWidth="1"/>
    <col min="6" max="6" width="36.140625" customWidth="1"/>
    <col min="7" max="7" width="23.28515625" customWidth="1"/>
    <col min="8" max="8" width="74.5703125" customWidth="1"/>
  </cols>
  <sheetData>
    <row r="1" spans="1:8" ht="90.75" customHeight="1" thickBot="1">
      <c r="B1" s="505"/>
      <c r="C1" s="506"/>
      <c r="D1" s="506"/>
      <c r="E1" s="506"/>
      <c r="F1" s="506"/>
      <c r="G1" s="506"/>
      <c r="H1" s="507"/>
    </row>
    <row r="2" spans="1:8" ht="40.5" customHeight="1" thickBot="1">
      <c r="B2" s="512" t="s">
        <v>303</v>
      </c>
      <c r="C2" s="513"/>
      <c r="D2" s="513"/>
      <c r="E2" s="513"/>
      <c r="F2" s="513"/>
      <c r="G2" s="513"/>
      <c r="H2" s="514"/>
    </row>
    <row r="3" spans="1:8" s="9" customFormat="1" ht="23.25" customHeight="1">
      <c r="A3"/>
      <c r="B3" s="254" t="s">
        <v>23</v>
      </c>
      <c r="C3" s="217"/>
      <c r="D3" s="267" t="s">
        <v>170</v>
      </c>
      <c r="E3" s="515"/>
      <c r="F3" s="515"/>
      <c r="G3" s="515"/>
      <c r="H3" s="516"/>
    </row>
    <row r="4" spans="1:8" s="9" customFormat="1" ht="15.75" customHeight="1">
      <c r="A4"/>
      <c r="B4" s="41" t="s">
        <v>3</v>
      </c>
      <c r="C4" s="217"/>
      <c r="D4" s="268">
        <v>43509</v>
      </c>
      <c r="E4" s="517"/>
      <c r="F4" s="517"/>
      <c r="G4" s="517"/>
      <c r="H4" s="518"/>
    </row>
    <row r="5" spans="1:8" s="9" customFormat="1" ht="18" customHeight="1">
      <c r="A5"/>
      <c r="B5" s="42" t="s">
        <v>72</v>
      </c>
      <c r="C5" s="217"/>
      <c r="D5" s="269" t="s">
        <v>5</v>
      </c>
      <c r="E5" s="517"/>
      <c r="F5" s="517"/>
      <c r="G5" s="517"/>
      <c r="H5" s="518"/>
    </row>
    <row r="6" spans="1:8" s="9" customFormat="1" ht="15.75" customHeight="1" thickBot="1">
      <c r="A6"/>
      <c r="B6" s="72" t="s">
        <v>312</v>
      </c>
      <c r="C6" s="217"/>
      <c r="D6" s="270"/>
      <c r="E6" s="517"/>
      <c r="F6" s="517"/>
      <c r="G6" s="517"/>
      <c r="H6" s="518"/>
    </row>
    <row r="7" spans="1:8" ht="16.5" thickBot="1">
      <c r="A7" s="247"/>
      <c r="B7" s="262" t="s">
        <v>498</v>
      </c>
      <c r="C7" s="263" t="s">
        <v>499</v>
      </c>
      <c r="D7" s="263" t="s">
        <v>500</v>
      </c>
      <c r="E7" s="264" t="s">
        <v>501</v>
      </c>
      <c r="F7" s="271" t="s">
        <v>507</v>
      </c>
      <c r="G7" s="265"/>
      <c r="H7" s="266"/>
    </row>
    <row r="8" spans="1:8">
      <c r="B8" s="37"/>
      <c r="E8" s="252"/>
      <c r="F8" s="252"/>
      <c r="G8" s="255"/>
      <c r="H8" s="256"/>
    </row>
    <row r="9" spans="1:8">
      <c r="B9" s="37"/>
      <c r="E9" s="252"/>
      <c r="F9" s="252"/>
      <c r="G9" s="255"/>
      <c r="H9" s="256"/>
    </row>
    <row r="10" spans="1:8" ht="12.75" customHeight="1">
      <c r="B10" s="37"/>
      <c r="E10" s="253"/>
      <c r="F10" s="252"/>
      <c r="G10" s="255"/>
      <c r="H10" s="256"/>
    </row>
    <row r="11" spans="1:8">
      <c r="B11" s="37"/>
      <c r="E11" s="253"/>
      <c r="F11" s="252"/>
      <c r="G11" s="255"/>
      <c r="H11" s="256"/>
    </row>
    <row r="12" spans="1:8">
      <c r="B12" s="37"/>
      <c r="E12" s="253"/>
      <c r="F12" s="252"/>
      <c r="G12" s="255"/>
      <c r="H12" s="256"/>
    </row>
    <row r="13" spans="1:8">
      <c r="B13" s="37"/>
      <c r="E13" s="253"/>
      <c r="F13" s="252"/>
      <c r="G13" s="255"/>
      <c r="H13" s="256"/>
    </row>
    <row r="14" spans="1:8">
      <c r="B14" s="37"/>
      <c r="E14" s="253"/>
      <c r="F14" s="252"/>
      <c r="G14" s="255"/>
      <c r="H14" s="256"/>
    </row>
    <row r="15" spans="1:8">
      <c r="B15" s="37"/>
      <c r="E15" s="253"/>
      <c r="F15" s="252"/>
      <c r="G15" s="255"/>
      <c r="H15" s="256"/>
    </row>
    <row r="16" spans="1:8">
      <c r="B16" s="37"/>
      <c r="E16" s="253"/>
      <c r="F16" s="252"/>
      <c r="G16" s="255"/>
      <c r="H16" s="256"/>
    </row>
    <row r="17" spans="2:8">
      <c r="B17" s="37"/>
      <c r="E17" s="253"/>
      <c r="F17" s="252"/>
      <c r="G17" s="255"/>
      <c r="H17" s="256"/>
    </row>
    <row r="18" spans="2:8">
      <c r="B18" s="37"/>
      <c r="E18" s="253"/>
      <c r="F18" s="252"/>
      <c r="G18" s="255"/>
      <c r="H18" s="256"/>
    </row>
    <row r="19" spans="2:8">
      <c r="B19" s="37"/>
      <c r="E19" s="253"/>
      <c r="F19" s="252"/>
      <c r="G19" s="255"/>
      <c r="H19" s="256"/>
    </row>
    <row r="20" spans="2:8">
      <c r="B20" s="37"/>
      <c r="E20" s="253"/>
      <c r="F20" s="252"/>
      <c r="G20" s="255"/>
      <c r="H20" s="256"/>
    </row>
    <row r="21" spans="2:8">
      <c r="B21" s="37"/>
      <c r="E21" s="253"/>
      <c r="F21" s="252"/>
      <c r="G21" s="255"/>
      <c r="H21" s="256"/>
    </row>
    <row r="22" spans="2:8">
      <c r="B22" s="37"/>
      <c r="E22" s="253"/>
      <c r="F22" s="252"/>
      <c r="G22" s="255"/>
      <c r="H22" s="256"/>
    </row>
    <row r="23" spans="2:8">
      <c r="B23" s="37"/>
      <c r="E23" s="252"/>
      <c r="F23" s="252"/>
      <c r="G23" s="255"/>
      <c r="H23" s="256"/>
    </row>
    <row r="24" spans="2:8">
      <c r="B24" s="37"/>
      <c r="E24" s="253"/>
      <c r="F24" s="252"/>
      <c r="G24" s="255"/>
      <c r="H24" s="256"/>
    </row>
    <row r="25" spans="2:8">
      <c r="B25" s="37"/>
      <c r="E25" s="253"/>
      <c r="F25" s="252"/>
      <c r="G25" s="255"/>
      <c r="H25" s="256"/>
    </row>
    <row r="26" spans="2:8">
      <c r="B26" s="37"/>
      <c r="E26" s="253"/>
      <c r="F26" s="252"/>
      <c r="G26" s="255"/>
      <c r="H26" s="256"/>
    </row>
    <row r="27" spans="2:8">
      <c r="B27" s="37"/>
      <c r="E27" s="253"/>
      <c r="F27" s="252"/>
      <c r="G27" s="255"/>
      <c r="H27" s="256"/>
    </row>
    <row r="28" spans="2:8">
      <c r="B28" s="37"/>
      <c r="E28" s="253"/>
      <c r="F28" s="252"/>
      <c r="G28" s="255"/>
      <c r="H28" s="256"/>
    </row>
    <row r="29" spans="2:8">
      <c r="B29" s="37"/>
      <c r="E29" s="253"/>
      <c r="F29" s="252"/>
      <c r="G29" s="255"/>
      <c r="H29" s="256"/>
    </row>
    <row r="30" spans="2:8">
      <c r="B30" s="37"/>
      <c r="E30" s="252"/>
      <c r="F30" s="252"/>
      <c r="G30" s="255"/>
      <c r="H30" s="256"/>
    </row>
    <row r="31" spans="2:8">
      <c r="B31" s="37"/>
      <c r="E31" s="253"/>
      <c r="F31" s="252"/>
      <c r="G31" s="255"/>
      <c r="H31" s="256"/>
    </row>
    <row r="32" spans="2:8">
      <c r="B32" s="37"/>
      <c r="E32" s="253"/>
      <c r="F32" s="252"/>
      <c r="G32" s="255"/>
      <c r="H32" s="256"/>
    </row>
    <row r="33" spans="2:8">
      <c r="B33" s="37"/>
      <c r="E33" s="253"/>
      <c r="F33" s="252"/>
      <c r="G33" s="255"/>
      <c r="H33" s="256"/>
    </row>
    <row r="34" spans="2:8">
      <c r="B34" s="37"/>
      <c r="E34" s="253"/>
      <c r="F34" s="252"/>
      <c r="G34" s="255"/>
      <c r="H34" s="256"/>
    </row>
    <row r="35" spans="2:8">
      <c r="B35" s="37"/>
      <c r="E35" s="253"/>
      <c r="F35" s="252"/>
      <c r="G35" s="255"/>
      <c r="H35" s="256"/>
    </row>
    <row r="36" spans="2:8">
      <c r="B36" s="37"/>
      <c r="E36" s="253"/>
      <c r="F36" s="252"/>
      <c r="G36" s="255"/>
      <c r="H36" s="256"/>
    </row>
    <row r="37" spans="2:8">
      <c r="B37" s="37"/>
      <c r="E37" s="253"/>
      <c r="F37" s="252"/>
      <c r="G37" s="255"/>
      <c r="H37" s="256"/>
    </row>
    <row r="38" spans="2:8">
      <c r="B38" s="37"/>
      <c r="E38" s="253"/>
      <c r="F38" s="252"/>
      <c r="G38" s="255"/>
      <c r="H38" s="256"/>
    </row>
    <row r="39" spans="2:8">
      <c r="B39" s="37"/>
      <c r="E39" s="252"/>
      <c r="F39" s="252"/>
      <c r="G39" s="255"/>
      <c r="H39" s="256"/>
    </row>
    <row r="40" spans="2:8">
      <c r="B40" s="37"/>
      <c r="E40" s="253"/>
      <c r="F40" s="252"/>
      <c r="G40" s="255"/>
      <c r="H40" s="256"/>
    </row>
    <row r="41" spans="2:8">
      <c r="B41" s="37"/>
      <c r="E41" s="253"/>
      <c r="F41" s="252"/>
      <c r="G41" s="255"/>
      <c r="H41" s="256"/>
    </row>
    <row r="42" spans="2:8">
      <c r="B42" s="37"/>
      <c r="E42" s="253"/>
      <c r="F42" s="252"/>
      <c r="G42" s="255"/>
      <c r="H42" s="256"/>
    </row>
    <row r="43" spans="2:8">
      <c r="B43" s="37"/>
      <c r="E43" s="253"/>
      <c r="F43" s="252"/>
      <c r="G43" s="255"/>
      <c r="H43" s="256"/>
    </row>
    <row r="44" spans="2:8">
      <c r="B44" s="37"/>
      <c r="E44" s="252"/>
      <c r="F44" s="252"/>
      <c r="G44" s="255"/>
      <c r="H44" s="256"/>
    </row>
    <row r="45" spans="2:8">
      <c r="B45" s="37"/>
      <c r="E45" s="253"/>
      <c r="F45" s="252"/>
      <c r="G45" s="255"/>
      <c r="H45" s="256"/>
    </row>
    <row r="46" spans="2:8">
      <c r="B46" s="37"/>
      <c r="E46" s="253"/>
      <c r="F46" s="252"/>
      <c r="G46" s="255"/>
      <c r="H46" s="256"/>
    </row>
    <row r="47" spans="2:8">
      <c r="B47" s="37"/>
      <c r="E47" s="253"/>
      <c r="F47" s="252"/>
      <c r="G47" s="255"/>
      <c r="H47" s="256"/>
    </row>
    <row r="48" spans="2:8">
      <c r="B48" s="37"/>
      <c r="E48" s="253"/>
      <c r="F48" s="252"/>
      <c r="G48" s="255"/>
      <c r="H48" s="256"/>
    </row>
    <row r="49" spans="2:8">
      <c r="B49" s="37"/>
      <c r="E49" s="252"/>
      <c r="F49" s="252"/>
      <c r="G49" s="255"/>
      <c r="H49" s="256"/>
    </row>
    <row r="50" spans="2:8">
      <c r="B50" s="37"/>
      <c r="E50" s="252"/>
      <c r="F50" s="252"/>
      <c r="G50" s="255"/>
      <c r="H50" s="256"/>
    </row>
    <row r="51" spans="2:8">
      <c r="B51" s="37"/>
      <c r="E51" s="252"/>
      <c r="F51" s="252"/>
      <c r="G51" s="255"/>
      <c r="H51" s="256"/>
    </row>
    <row r="52" spans="2:8">
      <c r="B52" s="37"/>
      <c r="E52" s="252"/>
      <c r="F52" s="252"/>
      <c r="G52" s="255"/>
      <c r="H52" s="256"/>
    </row>
    <row r="53" spans="2:8">
      <c r="B53" s="37"/>
      <c r="E53" s="252"/>
      <c r="F53" s="252"/>
      <c r="G53" s="255"/>
      <c r="H53" s="256"/>
    </row>
    <row r="54" spans="2:8">
      <c r="B54" s="37"/>
      <c r="E54" s="252"/>
      <c r="F54" s="252"/>
      <c r="G54" s="255"/>
      <c r="H54" s="256"/>
    </row>
    <row r="55" spans="2:8">
      <c r="B55" s="37"/>
      <c r="E55" s="252"/>
      <c r="F55" s="252"/>
      <c r="G55" s="255"/>
      <c r="H55" s="256"/>
    </row>
    <row r="56" spans="2:8">
      <c r="B56" s="37"/>
      <c r="E56" s="252"/>
      <c r="F56" s="252"/>
      <c r="G56" s="255"/>
      <c r="H56" s="256"/>
    </row>
    <row r="57" spans="2:8">
      <c r="B57" s="37"/>
      <c r="E57" s="252"/>
      <c r="F57" s="252"/>
      <c r="G57" s="255"/>
      <c r="H57" s="256"/>
    </row>
    <row r="58" spans="2:8" ht="15.75" thickBot="1">
      <c r="B58" s="37"/>
      <c r="D58" s="17"/>
      <c r="E58" s="17"/>
      <c r="F58" s="18"/>
      <c r="G58" s="257"/>
      <c r="H58" s="258"/>
    </row>
    <row r="59" spans="2:8" ht="21.75" thickBot="1">
      <c r="B59" s="519" t="s">
        <v>46</v>
      </c>
      <c r="C59" s="520"/>
      <c r="D59" s="521"/>
      <c r="E59" s="17"/>
      <c r="F59" s="18"/>
      <c r="G59" s="257"/>
      <c r="H59" s="258"/>
    </row>
    <row r="60" spans="2:8" ht="21.75" customHeight="1">
      <c r="B60" s="272"/>
      <c r="C60" s="522" t="s">
        <v>502</v>
      </c>
      <c r="D60" s="523"/>
      <c r="E60" s="17"/>
      <c r="F60" s="18"/>
      <c r="G60" s="257"/>
      <c r="H60" s="258"/>
    </row>
    <row r="61" spans="2:8" ht="21.75" customHeight="1">
      <c r="B61" s="30"/>
      <c r="C61" s="524" t="s">
        <v>503</v>
      </c>
      <c r="D61" s="525"/>
      <c r="E61" s="17"/>
      <c r="F61" s="18"/>
      <c r="G61" s="257"/>
      <c r="H61" s="258"/>
    </row>
    <row r="62" spans="2:8" ht="21.75" customHeight="1" thickBot="1">
      <c r="B62" s="57"/>
      <c r="C62" s="526" t="s">
        <v>504</v>
      </c>
      <c r="D62" s="527"/>
      <c r="E62" s="17"/>
      <c r="F62" s="18"/>
      <c r="G62" s="257"/>
      <c r="H62" s="258"/>
    </row>
    <row r="63" spans="2:8" ht="45" customHeight="1">
      <c r="B63" s="508"/>
      <c r="C63" s="408"/>
      <c r="D63" s="528" t="s">
        <v>49</v>
      </c>
      <c r="E63" s="529"/>
      <c r="F63" s="529"/>
      <c r="G63" s="529"/>
      <c r="H63" s="530"/>
    </row>
    <row r="64" spans="2:8" ht="60.6" customHeight="1" thickBot="1">
      <c r="B64" s="509"/>
      <c r="C64" s="510"/>
      <c r="D64" s="511" t="s">
        <v>51</v>
      </c>
      <c r="E64" s="492"/>
      <c r="F64" s="492"/>
      <c r="G64" s="492"/>
      <c r="H64" s="493"/>
    </row>
  </sheetData>
  <mergeCells count="10">
    <mergeCell ref="B1:H1"/>
    <mergeCell ref="B63:C64"/>
    <mergeCell ref="D64:H64"/>
    <mergeCell ref="B2:H2"/>
    <mergeCell ref="E3:H6"/>
    <mergeCell ref="B59:D59"/>
    <mergeCell ref="C60:D60"/>
    <mergeCell ref="C61:D61"/>
    <mergeCell ref="C62:D62"/>
    <mergeCell ref="D63:H63"/>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D2755-17E8-419F-972B-58A144B506DB}">
  <sheetPr codeName="Sheet16"/>
  <dimension ref="A1:F64"/>
  <sheetViews>
    <sheetView topLeftCell="A34" zoomScaleNormal="100" workbookViewId="0">
      <selection activeCell="I52" sqref="I52"/>
    </sheetView>
  </sheetViews>
  <sheetFormatPr defaultRowHeight="15"/>
  <cols>
    <col min="2" max="2" width="17.7109375" customWidth="1"/>
    <col min="3" max="3" width="33.85546875" customWidth="1"/>
    <col min="4" max="4" width="53" customWidth="1"/>
    <col min="5" max="5" width="21.85546875" customWidth="1"/>
    <col min="6" max="6" width="47" customWidth="1"/>
  </cols>
  <sheetData>
    <row r="1" spans="1:6" ht="90.75" customHeight="1" thickBot="1">
      <c r="B1" s="505"/>
      <c r="C1" s="506"/>
      <c r="D1" s="506"/>
      <c r="E1" s="506"/>
      <c r="F1" s="507"/>
    </row>
    <row r="2" spans="1:6" ht="40.5" customHeight="1" thickBot="1">
      <c r="B2" s="512" t="s">
        <v>505</v>
      </c>
      <c r="C2" s="513"/>
      <c r="D2" s="513"/>
      <c r="E2" s="513"/>
      <c r="F2" s="514"/>
    </row>
    <row r="3" spans="1:6" s="9" customFormat="1" ht="30.75" customHeight="1">
      <c r="A3"/>
      <c r="B3" s="254" t="s">
        <v>23</v>
      </c>
      <c r="C3" s="217"/>
      <c r="D3" s="259" t="s">
        <v>170</v>
      </c>
      <c r="E3" s="534"/>
      <c r="F3" s="516"/>
    </row>
    <row r="4" spans="1:6" s="9" customFormat="1" ht="15.75" customHeight="1">
      <c r="A4"/>
      <c r="B4" s="41" t="s">
        <v>3</v>
      </c>
      <c r="C4" s="217"/>
      <c r="D4" s="248">
        <v>43761</v>
      </c>
      <c r="E4" s="535"/>
      <c r="F4" s="518"/>
    </row>
    <row r="5" spans="1:6" s="9" customFormat="1" ht="18" customHeight="1">
      <c r="A5"/>
      <c r="B5" s="42" t="s">
        <v>72</v>
      </c>
      <c r="C5" s="217"/>
      <c r="D5" s="249" t="s">
        <v>5</v>
      </c>
      <c r="E5" s="535"/>
      <c r="F5" s="518"/>
    </row>
    <row r="6" spans="1:6" s="9" customFormat="1" ht="15.75" customHeight="1" thickBot="1">
      <c r="A6"/>
      <c r="B6" s="251" t="s">
        <v>312</v>
      </c>
      <c r="C6" s="218"/>
      <c r="D6" s="250"/>
      <c r="E6" s="536"/>
      <c r="F6" s="537"/>
    </row>
    <row r="7" spans="1:6" ht="16.5" thickBot="1">
      <c r="A7" s="247"/>
      <c r="B7" s="260" t="s">
        <v>498</v>
      </c>
      <c r="C7" s="261" t="s">
        <v>506</v>
      </c>
      <c r="D7" s="273" t="s">
        <v>508</v>
      </c>
      <c r="E7" s="252"/>
      <c r="F7" s="256"/>
    </row>
    <row r="8" spans="1:6">
      <c r="B8" s="37"/>
      <c r="E8" s="252"/>
      <c r="F8" s="256"/>
    </row>
    <row r="9" spans="1:6">
      <c r="B9" s="37"/>
      <c r="E9" s="252"/>
      <c r="F9" s="256"/>
    </row>
    <row r="10" spans="1:6" ht="12.75" customHeight="1">
      <c r="B10" s="37"/>
      <c r="E10" s="253"/>
      <c r="F10" s="256"/>
    </row>
    <row r="11" spans="1:6">
      <c r="B11" s="37"/>
      <c r="E11" s="253"/>
      <c r="F11" s="256"/>
    </row>
    <row r="12" spans="1:6">
      <c r="B12" s="37"/>
      <c r="E12" s="253"/>
      <c r="F12" s="256"/>
    </row>
    <row r="13" spans="1:6">
      <c r="B13" s="37"/>
      <c r="E13" s="253"/>
      <c r="F13" s="256"/>
    </row>
    <row r="14" spans="1:6">
      <c r="B14" s="37"/>
      <c r="E14" s="253"/>
      <c r="F14" s="256"/>
    </row>
    <row r="15" spans="1:6">
      <c r="B15" s="37"/>
      <c r="E15" s="253"/>
      <c r="F15" s="256"/>
    </row>
    <row r="16" spans="1:6">
      <c r="B16" s="37"/>
      <c r="E16" s="253"/>
      <c r="F16" s="256"/>
    </row>
    <row r="17" spans="2:6">
      <c r="B17" s="37"/>
      <c r="E17" s="253"/>
      <c r="F17" s="256"/>
    </row>
    <row r="18" spans="2:6">
      <c r="B18" s="37"/>
      <c r="E18" s="253"/>
      <c r="F18" s="256"/>
    </row>
    <row r="19" spans="2:6">
      <c r="B19" s="37"/>
      <c r="E19" s="253"/>
      <c r="F19" s="256"/>
    </row>
    <row r="20" spans="2:6">
      <c r="B20" s="37"/>
      <c r="E20" s="253"/>
      <c r="F20" s="256"/>
    </row>
    <row r="21" spans="2:6">
      <c r="B21" s="37"/>
      <c r="E21" s="253"/>
      <c r="F21" s="256"/>
    </row>
    <row r="22" spans="2:6">
      <c r="B22" s="37"/>
      <c r="E22" s="253"/>
      <c r="F22" s="256"/>
    </row>
    <row r="23" spans="2:6">
      <c r="B23" s="37"/>
      <c r="E23" s="252"/>
      <c r="F23" s="256"/>
    </row>
    <row r="24" spans="2:6">
      <c r="B24" s="37"/>
      <c r="E24" s="253"/>
      <c r="F24" s="256"/>
    </row>
    <row r="25" spans="2:6">
      <c r="B25" s="37"/>
      <c r="E25" s="253"/>
      <c r="F25" s="256"/>
    </row>
    <row r="26" spans="2:6">
      <c r="B26" s="37"/>
      <c r="E26" s="253"/>
      <c r="F26" s="256"/>
    </row>
    <row r="27" spans="2:6">
      <c r="B27" s="37"/>
      <c r="E27" s="253"/>
      <c r="F27" s="256"/>
    </row>
    <row r="28" spans="2:6">
      <c r="B28" s="37"/>
      <c r="E28" s="253"/>
      <c r="F28" s="256"/>
    </row>
    <row r="29" spans="2:6">
      <c r="B29" s="37"/>
      <c r="E29" s="253"/>
      <c r="F29" s="256"/>
    </row>
    <row r="30" spans="2:6">
      <c r="B30" s="37"/>
      <c r="E30" s="252"/>
      <c r="F30" s="256"/>
    </row>
    <row r="31" spans="2:6">
      <c r="B31" s="37"/>
      <c r="E31" s="253"/>
      <c r="F31" s="256"/>
    </row>
    <row r="32" spans="2:6">
      <c r="B32" s="37"/>
      <c r="E32" s="253"/>
      <c r="F32" s="256"/>
    </row>
    <row r="33" spans="2:6">
      <c r="B33" s="37"/>
      <c r="E33" s="253"/>
      <c r="F33" s="256"/>
    </row>
    <row r="34" spans="2:6">
      <c r="B34" s="37"/>
      <c r="E34" s="253"/>
      <c r="F34" s="256"/>
    </row>
    <row r="35" spans="2:6">
      <c r="B35" s="37"/>
      <c r="E35" s="253"/>
      <c r="F35" s="256"/>
    </row>
    <row r="36" spans="2:6">
      <c r="B36" s="37"/>
      <c r="E36" s="253"/>
      <c r="F36" s="256"/>
    </row>
    <row r="37" spans="2:6">
      <c r="B37" s="37"/>
      <c r="E37" s="253"/>
      <c r="F37" s="256"/>
    </row>
    <row r="38" spans="2:6">
      <c r="B38" s="37"/>
      <c r="E38" s="253"/>
      <c r="F38" s="256"/>
    </row>
    <row r="39" spans="2:6">
      <c r="B39" s="37"/>
      <c r="E39" s="252"/>
      <c r="F39" s="256"/>
    </row>
    <row r="40" spans="2:6">
      <c r="B40" s="37"/>
      <c r="E40" s="253"/>
      <c r="F40" s="256"/>
    </row>
    <row r="41" spans="2:6">
      <c r="B41" s="37"/>
      <c r="E41" s="253"/>
      <c r="F41" s="256"/>
    </row>
    <row r="42" spans="2:6">
      <c r="B42" s="37"/>
      <c r="E42" s="253"/>
      <c r="F42" s="256"/>
    </row>
    <row r="43" spans="2:6">
      <c r="B43" s="37"/>
      <c r="E43" s="253"/>
      <c r="F43" s="256"/>
    </row>
    <row r="44" spans="2:6">
      <c r="B44" s="37"/>
      <c r="E44" s="252"/>
      <c r="F44" s="256"/>
    </row>
    <row r="45" spans="2:6">
      <c r="B45" s="37"/>
      <c r="E45" s="253"/>
      <c r="F45" s="256"/>
    </row>
    <row r="46" spans="2:6">
      <c r="B46" s="37"/>
      <c r="E46" s="253"/>
      <c r="F46" s="256"/>
    </row>
    <row r="47" spans="2:6">
      <c r="B47" s="37"/>
      <c r="E47" s="253"/>
      <c r="F47" s="256"/>
    </row>
    <row r="48" spans="2:6">
      <c r="B48" s="37"/>
      <c r="E48" s="253"/>
      <c r="F48" s="256"/>
    </row>
    <row r="49" spans="2:6">
      <c r="B49" s="37"/>
      <c r="E49" s="252"/>
      <c r="F49" s="256"/>
    </row>
    <row r="50" spans="2:6">
      <c r="B50" s="37"/>
      <c r="E50" s="252"/>
      <c r="F50" s="256"/>
    </row>
    <row r="51" spans="2:6">
      <c r="B51" s="37"/>
      <c r="E51" s="252"/>
      <c r="F51" s="256"/>
    </row>
    <row r="52" spans="2:6">
      <c r="B52" s="37"/>
      <c r="E52" s="252"/>
      <c r="F52" s="256"/>
    </row>
    <row r="53" spans="2:6">
      <c r="B53" s="37"/>
      <c r="E53" s="252"/>
      <c r="F53" s="256"/>
    </row>
    <row r="54" spans="2:6">
      <c r="B54" s="37"/>
      <c r="E54" s="252"/>
      <c r="F54" s="256"/>
    </row>
    <row r="55" spans="2:6">
      <c r="B55" s="37"/>
      <c r="E55" s="252"/>
      <c r="F55" s="256"/>
    </row>
    <row r="56" spans="2:6">
      <c r="B56" s="37"/>
      <c r="E56" s="252"/>
      <c r="F56" s="256"/>
    </row>
    <row r="57" spans="2:6">
      <c r="B57" s="37"/>
      <c r="E57" s="252"/>
      <c r="F57" s="256"/>
    </row>
    <row r="58" spans="2:6" ht="15.75" thickBot="1">
      <c r="B58" s="37"/>
      <c r="D58" s="17"/>
      <c r="E58" s="17"/>
      <c r="F58" s="258"/>
    </row>
    <row r="59" spans="2:6" ht="21.75" thickBot="1">
      <c r="B59" s="519" t="s">
        <v>46</v>
      </c>
      <c r="C59" s="521"/>
      <c r="D59" s="508"/>
      <c r="E59" s="408"/>
      <c r="F59" s="409"/>
    </row>
    <row r="60" spans="2:6" ht="21.75" customHeight="1">
      <c r="B60" s="272"/>
      <c r="C60" s="274" t="s">
        <v>502</v>
      </c>
      <c r="D60" s="508"/>
      <c r="E60" s="408"/>
      <c r="F60" s="409"/>
    </row>
    <row r="61" spans="2:6" ht="21.75" customHeight="1">
      <c r="B61" s="30"/>
      <c r="C61" s="207" t="s">
        <v>503</v>
      </c>
      <c r="D61" s="508"/>
      <c r="E61" s="408"/>
      <c r="F61" s="409"/>
    </row>
    <row r="62" spans="2:6" ht="21.75" customHeight="1" thickBot="1">
      <c r="B62" s="57"/>
      <c r="C62" s="208" t="s">
        <v>504</v>
      </c>
      <c r="D62" s="508"/>
      <c r="E62" s="408"/>
      <c r="F62" s="409"/>
    </row>
    <row r="63" spans="2:6" ht="45" customHeight="1">
      <c r="B63" s="531"/>
      <c r="C63" s="532"/>
      <c r="D63" s="275" t="s">
        <v>49</v>
      </c>
      <c r="E63" s="276"/>
      <c r="F63" s="277"/>
    </row>
    <row r="64" spans="2:6" ht="60.6" customHeight="1" thickBot="1">
      <c r="B64" s="509"/>
      <c r="C64" s="533"/>
      <c r="D64" s="511" t="s">
        <v>51</v>
      </c>
      <c r="E64" s="492"/>
      <c r="F64" s="493"/>
    </row>
  </sheetData>
  <mergeCells count="7">
    <mergeCell ref="B1:F1"/>
    <mergeCell ref="B63:C64"/>
    <mergeCell ref="D64:F64"/>
    <mergeCell ref="B2:F2"/>
    <mergeCell ref="E3:F6"/>
    <mergeCell ref="B59:C59"/>
    <mergeCell ref="D59:F62"/>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D3B65-A7E1-4CE8-A327-1FBD888B02FA}">
  <sheetPr codeName="Sheet12"/>
  <dimension ref="B1:M138"/>
  <sheetViews>
    <sheetView topLeftCell="A119" zoomScaleNormal="100" workbookViewId="0">
      <selection activeCell="O3" sqref="O3"/>
    </sheetView>
  </sheetViews>
  <sheetFormatPr defaultRowHeight="15"/>
  <cols>
    <col min="2" max="2" width="46.140625" customWidth="1"/>
    <col min="10" max="10" width="20.140625" customWidth="1"/>
    <col min="12" max="12" width="14.28515625" customWidth="1"/>
    <col min="13" max="13" width="11.42578125" customWidth="1"/>
  </cols>
  <sheetData>
    <row r="1" spans="2:13" ht="84.75" customHeight="1" thickBot="1">
      <c r="B1" s="410"/>
      <c r="C1" s="411"/>
      <c r="D1" s="411"/>
      <c r="E1" s="411"/>
      <c r="F1" s="411"/>
      <c r="G1" s="411"/>
      <c r="H1" s="411"/>
      <c r="I1" s="411"/>
      <c r="J1" s="411"/>
      <c r="K1" s="411"/>
      <c r="L1" s="411"/>
      <c r="M1" s="551"/>
    </row>
    <row r="2" spans="2:13" ht="30" customHeight="1">
      <c r="B2" s="557" t="s">
        <v>420</v>
      </c>
      <c r="C2" s="558"/>
      <c r="D2" s="558"/>
      <c r="E2" s="558"/>
      <c r="F2" s="558"/>
      <c r="G2" s="558"/>
      <c r="H2" s="558"/>
      <c r="I2" s="558"/>
      <c r="J2" s="558"/>
      <c r="K2" s="558"/>
      <c r="L2" s="558"/>
      <c r="M2" s="559"/>
    </row>
    <row r="3" spans="2:13" s="9" customFormat="1" ht="24.75" customHeight="1">
      <c r="B3" s="19" t="s">
        <v>23</v>
      </c>
      <c r="C3" s="20"/>
      <c r="D3" s="458"/>
      <c r="E3" s="459"/>
      <c r="F3" s="459"/>
      <c r="G3" s="459"/>
      <c r="H3" s="459"/>
      <c r="I3" s="459"/>
      <c r="J3" s="459"/>
      <c r="K3" s="460"/>
      <c r="L3" s="70" t="s">
        <v>170</v>
      </c>
      <c r="M3" s="140">
        <v>43421</v>
      </c>
    </row>
    <row r="4" spans="2:13" s="9" customFormat="1" ht="22.5" customHeight="1">
      <c r="B4" s="31" t="s">
        <v>3</v>
      </c>
      <c r="C4" s="21"/>
      <c r="D4" s="231"/>
      <c r="E4" s="231"/>
      <c r="F4" s="231"/>
      <c r="G4" s="231"/>
      <c r="H4" s="231"/>
      <c r="I4" s="241"/>
      <c r="J4" s="242"/>
      <c r="K4" s="231"/>
      <c r="L4" s="243" t="s">
        <v>5</v>
      </c>
      <c r="M4" s="203"/>
    </row>
    <row r="5" spans="2:13" s="9" customFormat="1" ht="16.5" customHeight="1">
      <c r="B5" s="32" t="s">
        <v>72</v>
      </c>
      <c r="C5" s="22"/>
      <c r="D5" s="231"/>
      <c r="E5" s="231"/>
      <c r="F5" s="231"/>
      <c r="G5" s="231"/>
      <c r="H5" s="231"/>
      <c r="I5" s="241"/>
      <c r="J5" s="242"/>
      <c r="K5" s="231"/>
      <c r="L5" s="231"/>
      <c r="M5" s="232"/>
    </row>
    <row r="6" spans="2:13" s="9" customFormat="1" ht="16.5" customHeight="1">
      <c r="B6" s="43" t="s">
        <v>312</v>
      </c>
      <c r="C6" s="163"/>
      <c r="D6" s="231"/>
      <c r="E6" s="231"/>
      <c r="F6" s="231"/>
      <c r="G6" s="231"/>
      <c r="H6" s="231"/>
      <c r="I6" s="241"/>
      <c r="J6" s="242"/>
      <c r="K6" s="231"/>
      <c r="L6" s="231"/>
      <c r="M6" s="232"/>
    </row>
    <row r="7" spans="2:13">
      <c r="B7" s="74" t="s">
        <v>421</v>
      </c>
      <c r="C7" s="539"/>
      <c r="D7" s="539"/>
      <c r="E7" s="539"/>
      <c r="F7" s="539"/>
      <c r="G7" s="539"/>
      <c r="H7" s="539"/>
      <c r="I7" s="555" t="s">
        <v>430</v>
      </c>
      <c r="J7" s="556"/>
      <c r="K7" s="539"/>
      <c r="L7" s="539"/>
      <c r="M7" s="540"/>
    </row>
    <row r="8" spans="2:13">
      <c r="B8" s="74" t="s">
        <v>422</v>
      </c>
      <c r="C8" s="539"/>
      <c r="D8" s="539"/>
      <c r="E8" s="539"/>
      <c r="F8" s="539"/>
      <c r="G8" s="539"/>
      <c r="H8" s="539"/>
      <c r="I8" s="28" t="s">
        <v>423</v>
      </c>
      <c r="J8" s="28"/>
      <c r="K8" s="539"/>
      <c r="L8" s="539"/>
      <c r="M8" s="540"/>
    </row>
    <row r="9" spans="2:13">
      <c r="B9" s="74" t="s">
        <v>424</v>
      </c>
      <c r="C9" s="539"/>
      <c r="D9" s="539"/>
      <c r="E9" s="539"/>
      <c r="F9" s="539"/>
      <c r="G9" s="539"/>
      <c r="H9" s="539"/>
      <c r="I9" s="28" t="s">
        <v>425</v>
      </c>
      <c r="J9" s="28"/>
      <c r="K9" s="539"/>
      <c r="L9" s="539"/>
      <c r="M9" s="540"/>
    </row>
    <row r="10" spans="2:13">
      <c r="B10" s="74" t="s">
        <v>426</v>
      </c>
      <c r="C10" s="539"/>
      <c r="D10" s="539"/>
      <c r="E10" s="539"/>
      <c r="F10" s="539"/>
      <c r="G10" s="539"/>
      <c r="H10" s="539"/>
      <c r="I10" s="541" t="s">
        <v>427</v>
      </c>
      <c r="J10" s="541"/>
      <c r="K10" s="539"/>
      <c r="L10" s="539"/>
      <c r="M10" s="540"/>
    </row>
    <row r="11" spans="2:13">
      <c r="B11" s="74" t="s">
        <v>428</v>
      </c>
      <c r="C11" s="539"/>
      <c r="D11" s="539"/>
      <c r="E11" s="539"/>
      <c r="F11" s="539"/>
      <c r="G11" s="539"/>
      <c r="H11" s="539"/>
      <c r="I11" s="28" t="s">
        <v>473</v>
      </c>
      <c r="J11" s="28"/>
      <c r="K11" s="539"/>
      <c r="L11" s="539"/>
      <c r="M11" s="540"/>
    </row>
    <row r="12" spans="2:13" ht="15.75" thickBot="1">
      <c r="B12" s="74" t="s">
        <v>429</v>
      </c>
      <c r="C12" s="539"/>
      <c r="D12" s="539"/>
      <c r="E12" s="539"/>
      <c r="F12" s="539"/>
      <c r="G12" s="539"/>
      <c r="H12" s="539"/>
      <c r="I12" s="28"/>
      <c r="J12" s="28"/>
      <c r="K12" s="539"/>
      <c r="L12" s="539"/>
      <c r="M12" s="540"/>
    </row>
    <row r="13" spans="2:13" ht="36" customHeight="1" thickBot="1">
      <c r="B13" s="542" t="s">
        <v>479</v>
      </c>
      <c r="C13" s="543"/>
      <c r="D13" s="543"/>
      <c r="E13" s="543"/>
      <c r="F13" s="543"/>
      <c r="G13" s="543"/>
      <c r="H13" s="543"/>
      <c r="I13" s="543"/>
      <c r="J13" s="543"/>
      <c r="K13" s="543"/>
      <c r="L13" s="543"/>
      <c r="M13" s="544"/>
    </row>
    <row r="14" spans="2:13" ht="21">
      <c r="B14" s="552" t="s">
        <v>431</v>
      </c>
      <c r="C14" s="553"/>
      <c r="D14" s="553"/>
      <c r="E14" s="553"/>
      <c r="F14" s="553"/>
      <c r="G14" s="553"/>
      <c r="H14" s="553"/>
      <c r="I14" s="553"/>
      <c r="J14" s="553"/>
      <c r="K14" s="553"/>
      <c r="L14" s="553"/>
      <c r="M14" s="554"/>
    </row>
    <row r="15" spans="2:13">
      <c r="B15" s="74" t="s">
        <v>432</v>
      </c>
      <c r="C15" s="28"/>
      <c r="D15" s="28"/>
      <c r="E15" s="28"/>
      <c r="F15" s="28"/>
      <c r="G15" s="28"/>
      <c r="H15" s="28"/>
      <c r="I15" s="28"/>
      <c r="J15" s="28"/>
      <c r="K15" s="28"/>
      <c r="L15" s="28"/>
      <c r="M15" s="16"/>
    </row>
    <row r="16" spans="2:13">
      <c r="B16" s="74" t="s">
        <v>433</v>
      </c>
      <c r="C16" s="28"/>
      <c r="D16" s="28"/>
      <c r="E16" s="28"/>
      <c r="F16" s="28"/>
      <c r="G16" s="28"/>
      <c r="H16" s="28"/>
      <c r="I16" s="28"/>
      <c r="J16" s="28"/>
      <c r="K16" s="28"/>
      <c r="L16" s="28"/>
      <c r="M16" s="16"/>
    </row>
    <row r="17" spans="2:13">
      <c r="B17" s="74" t="s">
        <v>434</v>
      </c>
      <c r="C17" s="28"/>
      <c r="D17" s="28"/>
      <c r="E17" s="28"/>
      <c r="F17" s="28"/>
      <c r="G17" s="28"/>
      <c r="H17" s="28"/>
      <c r="I17" s="28"/>
      <c r="J17" s="28"/>
      <c r="K17" s="28"/>
      <c r="L17" s="28"/>
      <c r="M17" s="16"/>
    </row>
    <row r="18" spans="2:13">
      <c r="B18" s="74"/>
      <c r="C18" s="28"/>
      <c r="D18" s="28"/>
      <c r="E18" s="28"/>
      <c r="F18" s="28"/>
      <c r="G18" s="28"/>
      <c r="H18" s="28"/>
      <c r="I18" s="28"/>
      <c r="J18" s="28"/>
      <c r="K18" s="28"/>
      <c r="L18" s="28"/>
      <c r="M18" s="16"/>
    </row>
    <row r="19" spans="2:13" ht="18.75">
      <c r="B19" s="226" t="s">
        <v>435</v>
      </c>
      <c r="C19" s="28"/>
      <c r="D19" s="28"/>
      <c r="E19" s="28"/>
      <c r="F19" s="28"/>
      <c r="G19" s="28"/>
      <c r="H19" s="28"/>
      <c r="I19" s="28"/>
      <c r="J19" s="28"/>
      <c r="K19" s="28"/>
      <c r="L19" s="28"/>
      <c r="M19" s="16"/>
    </row>
    <row r="20" spans="2:13">
      <c r="B20" s="74"/>
      <c r="C20" s="28"/>
      <c r="D20" s="28"/>
      <c r="E20" s="28"/>
      <c r="F20" s="28"/>
      <c r="G20" s="28"/>
      <c r="H20" s="28"/>
      <c r="I20" s="28"/>
      <c r="J20" s="28"/>
      <c r="K20" s="28"/>
      <c r="L20" s="28"/>
      <c r="M20" s="16"/>
    </row>
    <row r="21" spans="2:13">
      <c r="B21" s="74" t="s">
        <v>436</v>
      </c>
      <c r="C21" s="28"/>
      <c r="D21" s="28"/>
      <c r="E21" s="28"/>
      <c r="F21" s="28"/>
      <c r="G21" s="28"/>
      <c r="H21" s="28"/>
      <c r="I21" s="28"/>
      <c r="J21" s="28"/>
      <c r="K21" s="28"/>
      <c r="L21" s="28"/>
      <c r="M21" s="16"/>
    </row>
    <row r="22" spans="2:13">
      <c r="B22" s="74" t="s">
        <v>437</v>
      </c>
      <c r="C22" s="28"/>
      <c r="D22" s="28"/>
      <c r="E22" s="28"/>
      <c r="F22" s="28"/>
      <c r="G22" s="28"/>
      <c r="H22" s="28"/>
      <c r="I22" s="28"/>
      <c r="J22" s="28"/>
      <c r="K22" s="28"/>
      <c r="L22" s="28"/>
      <c r="M22" s="16"/>
    </row>
    <row r="23" spans="2:13">
      <c r="B23" s="74" t="s">
        <v>438</v>
      </c>
      <c r="C23" s="28"/>
      <c r="D23" s="28"/>
      <c r="E23" s="28"/>
      <c r="F23" s="28"/>
      <c r="G23" s="28"/>
      <c r="H23" s="28"/>
      <c r="I23" s="28"/>
      <c r="J23" s="28"/>
      <c r="K23" s="28"/>
      <c r="L23" s="28"/>
      <c r="M23" s="16"/>
    </row>
    <row r="24" spans="2:13">
      <c r="B24" s="74" t="s">
        <v>439</v>
      </c>
      <c r="C24" s="28"/>
      <c r="D24" s="28"/>
      <c r="E24" s="28"/>
      <c r="F24" s="28"/>
      <c r="G24" s="28"/>
      <c r="H24" s="28"/>
      <c r="I24" s="28"/>
      <c r="J24" s="28"/>
      <c r="K24" s="28"/>
      <c r="L24" s="28"/>
      <c r="M24" s="16"/>
    </row>
    <row r="25" spans="2:13">
      <c r="B25" s="74" t="s">
        <v>440</v>
      </c>
      <c r="C25" s="28"/>
      <c r="D25" s="28"/>
      <c r="E25" s="28"/>
      <c r="F25" s="28"/>
      <c r="G25" s="28"/>
      <c r="H25" s="28"/>
      <c r="I25" s="28"/>
      <c r="J25" s="28"/>
      <c r="K25" s="28"/>
      <c r="L25" s="28"/>
      <c r="M25" s="16"/>
    </row>
    <row r="26" spans="2:13">
      <c r="B26" s="74" t="s">
        <v>441</v>
      </c>
      <c r="C26" s="28"/>
      <c r="D26" s="28"/>
      <c r="E26" s="28"/>
      <c r="F26" s="28"/>
      <c r="G26" s="28"/>
      <c r="H26" s="28"/>
      <c r="I26" s="28"/>
      <c r="J26" s="28"/>
      <c r="K26" s="28"/>
      <c r="L26" s="28"/>
      <c r="M26" s="16"/>
    </row>
    <row r="27" spans="2:13">
      <c r="B27" s="74" t="s">
        <v>442</v>
      </c>
      <c r="C27" s="28"/>
      <c r="D27" s="28"/>
      <c r="E27" s="28"/>
      <c r="F27" s="28"/>
      <c r="G27" s="28"/>
      <c r="H27" s="28"/>
      <c r="I27" s="28"/>
      <c r="J27" s="28"/>
      <c r="K27" s="28"/>
      <c r="L27" s="28"/>
      <c r="M27" s="16"/>
    </row>
    <row r="28" spans="2:13">
      <c r="B28" s="74" t="s">
        <v>443</v>
      </c>
      <c r="C28" s="28"/>
      <c r="D28" s="28"/>
      <c r="E28" s="28"/>
      <c r="F28" s="28"/>
      <c r="G28" s="28"/>
      <c r="H28" s="28"/>
      <c r="I28" s="28"/>
      <c r="J28" s="28"/>
      <c r="K28" s="28"/>
      <c r="L28" s="28"/>
      <c r="M28" s="16"/>
    </row>
    <row r="29" spans="2:13">
      <c r="B29" s="74" t="s">
        <v>444</v>
      </c>
      <c r="C29" s="28"/>
      <c r="D29" s="28"/>
      <c r="E29" s="28"/>
      <c r="F29" s="28"/>
      <c r="G29" s="28"/>
      <c r="H29" s="28"/>
      <c r="I29" s="28"/>
      <c r="J29" s="28"/>
      <c r="K29" s="28"/>
      <c r="L29" s="28"/>
      <c r="M29" s="16"/>
    </row>
    <row r="30" spans="2:13">
      <c r="B30" s="74" t="s">
        <v>445</v>
      </c>
      <c r="C30" s="28"/>
      <c r="D30" s="28"/>
      <c r="E30" s="28"/>
      <c r="F30" s="28"/>
      <c r="G30" s="28"/>
      <c r="H30" s="28"/>
      <c r="I30" s="28"/>
      <c r="J30" s="28"/>
      <c r="K30" s="28"/>
      <c r="L30" s="28"/>
      <c r="M30" s="16"/>
    </row>
    <row r="31" spans="2:13">
      <c r="B31" s="74" t="s">
        <v>446</v>
      </c>
      <c r="C31" s="28"/>
      <c r="D31" s="28"/>
      <c r="E31" s="28"/>
      <c r="F31" s="28"/>
      <c r="G31" s="28"/>
      <c r="H31" s="28"/>
      <c r="I31" s="28"/>
      <c r="J31" s="28"/>
      <c r="K31" s="28"/>
      <c r="L31" s="28"/>
      <c r="M31" s="16"/>
    </row>
    <row r="32" spans="2:13">
      <c r="B32" s="74" t="s">
        <v>447</v>
      </c>
      <c r="C32" s="28"/>
      <c r="D32" s="28"/>
      <c r="E32" s="28"/>
      <c r="F32" s="28"/>
      <c r="G32" s="28"/>
      <c r="H32" s="28"/>
      <c r="I32" s="28"/>
      <c r="J32" s="28"/>
      <c r="K32" s="28"/>
      <c r="L32" s="28"/>
      <c r="M32" s="16"/>
    </row>
    <row r="33" spans="2:13">
      <c r="B33" s="74" t="s">
        <v>448</v>
      </c>
      <c r="C33" s="28"/>
      <c r="D33" s="28"/>
      <c r="E33" s="28"/>
      <c r="F33" s="28"/>
      <c r="G33" s="28"/>
      <c r="H33" s="28"/>
      <c r="I33" s="28"/>
      <c r="J33" s="28"/>
      <c r="K33" s="28"/>
      <c r="L33" s="28"/>
      <c r="M33" s="16"/>
    </row>
    <row r="34" spans="2:13">
      <c r="B34" s="74" t="s">
        <v>449</v>
      </c>
      <c r="C34" s="28"/>
      <c r="D34" s="28"/>
      <c r="E34" s="28"/>
      <c r="F34" s="28"/>
      <c r="G34" s="28"/>
      <c r="H34" s="28"/>
      <c r="I34" s="28"/>
      <c r="J34" s="28"/>
      <c r="K34" s="28"/>
      <c r="L34" s="28"/>
      <c r="M34" s="16"/>
    </row>
    <row r="35" spans="2:13">
      <c r="B35" s="74" t="s">
        <v>450</v>
      </c>
      <c r="C35" s="28"/>
      <c r="D35" s="28"/>
      <c r="E35" s="28"/>
      <c r="F35" s="28"/>
      <c r="G35" s="28"/>
      <c r="H35" s="28"/>
      <c r="I35" s="28"/>
      <c r="J35" s="28"/>
      <c r="K35" s="28"/>
      <c r="L35" s="28"/>
      <c r="M35" s="16"/>
    </row>
    <row r="36" spans="2:13">
      <c r="B36" s="74" t="s">
        <v>451</v>
      </c>
      <c r="C36" s="28"/>
      <c r="D36" s="28"/>
      <c r="E36" s="28"/>
      <c r="F36" s="28"/>
      <c r="G36" s="28"/>
      <c r="H36" s="28"/>
      <c r="I36" s="28"/>
      <c r="J36" s="28"/>
      <c r="K36" s="28"/>
      <c r="L36" s="28"/>
      <c r="M36" s="16"/>
    </row>
    <row r="37" spans="2:13">
      <c r="B37" s="74" t="s">
        <v>452</v>
      </c>
      <c r="C37" s="28"/>
      <c r="D37" s="28"/>
      <c r="E37" s="28"/>
      <c r="F37" s="28"/>
      <c r="G37" s="28"/>
      <c r="H37" s="28"/>
      <c r="I37" s="28"/>
      <c r="J37" s="28"/>
      <c r="K37" s="28"/>
      <c r="L37" s="28"/>
      <c r="M37" s="16"/>
    </row>
    <row r="38" spans="2:13">
      <c r="B38" s="74"/>
      <c r="C38" s="28"/>
      <c r="D38" s="28"/>
      <c r="E38" s="28"/>
      <c r="F38" s="28"/>
      <c r="G38" s="28"/>
      <c r="H38" s="28"/>
      <c r="I38" s="28"/>
      <c r="J38" s="28"/>
      <c r="K38" s="28"/>
      <c r="L38" s="28"/>
      <c r="M38" s="16"/>
    </row>
    <row r="39" spans="2:13">
      <c r="B39" s="74" t="s">
        <v>453</v>
      </c>
      <c r="C39" s="28"/>
      <c r="D39" s="28"/>
      <c r="E39" s="28"/>
      <c r="F39" s="28"/>
      <c r="G39" s="28"/>
      <c r="H39" s="28"/>
      <c r="I39" s="28"/>
      <c r="J39" s="28"/>
      <c r="K39" s="28"/>
      <c r="L39" s="28"/>
      <c r="M39" s="16"/>
    </row>
    <row r="40" spans="2:13">
      <c r="B40" s="74" t="s">
        <v>454</v>
      </c>
      <c r="C40" s="28"/>
      <c r="D40" s="28"/>
      <c r="E40" s="28"/>
      <c r="F40" s="28"/>
      <c r="G40" s="28"/>
      <c r="H40" s="28"/>
      <c r="I40" s="28"/>
      <c r="J40" s="28"/>
      <c r="K40" s="28"/>
      <c r="L40" s="28"/>
      <c r="M40" s="16"/>
    </row>
    <row r="41" spans="2:13">
      <c r="B41" s="74" t="s">
        <v>455</v>
      </c>
      <c r="C41" s="28"/>
      <c r="D41" s="28"/>
      <c r="E41" s="28"/>
      <c r="F41" s="28"/>
      <c r="G41" s="28"/>
      <c r="H41" s="28"/>
      <c r="I41" s="28"/>
      <c r="J41" s="28"/>
      <c r="K41" s="28"/>
      <c r="L41" s="28"/>
      <c r="M41" s="16"/>
    </row>
    <row r="42" spans="2:13">
      <c r="B42" s="74" t="s">
        <v>456</v>
      </c>
      <c r="C42" s="28"/>
      <c r="D42" s="28"/>
      <c r="E42" s="28"/>
      <c r="F42" s="28"/>
      <c r="G42" s="28"/>
      <c r="H42" s="28"/>
      <c r="I42" s="28"/>
      <c r="J42" s="28"/>
      <c r="K42" s="28"/>
      <c r="L42" s="28"/>
      <c r="M42" s="16"/>
    </row>
    <row r="43" spans="2:13">
      <c r="B43" s="74" t="s">
        <v>457</v>
      </c>
      <c r="C43" s="28"/>
      <c r="D43" s="28"/>
      <c r="E43" s="28"/>
      <c r="F43" s="28"/>
      <c r="G43" s="28"/>
      <c r="H43" s="28"/>
      <c r="I43" s="28"/>
      <c r="J43" s="28"/>
      <c r="K43" s="28"/>
      <c r="L43" s="28"/>
      <c r="M43" s="16"/>
    </row>
    <row r="44" spans="2:13">
      <c r="B44" s="74" t="s">
        <v>458</v>
      </c>
      <c r="C44" s="28"/>
      <c r="D44" s="28"/>
      <c r="E44" s="28"/>
      <c r="F44" s="28"/>
      <c r="G44" s="28"/>
      <c r="H44" s="28"/>
      <c r="I44" s="28"/>
      <c r="J44" s="28"/>
      <c r="K44" s="28"/>
      <c r="L44" s="28"/>
      <c r="M44" s="16"/>
    </row>
    <row r="45" spans="2:13">
      <c r="B45" s="74" t="s">
        <v>459</v>
      </c>
      <c r="C45" s="28"/>
      <c r="D45" s="28"/>
      <c r="E45" s="28"/>
      <c r="F45" s="28"/>
      <c r="G45" s="28"/>
      <c r="H45" s="28"/>
      <c r="I45" s="28"/>
      <c r="J45" s="28"/>
      <c r="K45" s="28"/>
      <c r="L45" s="28"/>
      <c r="M45" s="16"/>
    </row>
    <row r="46" spans="2:13">
      <c r="B46" s="74" t="s">
        <v>460</v>
      </c>
      <c r="C46" s="28"/>
      <c r="D46" s="28"/>
      <c r="E46" s="28"/>
      <c r="F46" s="28"/>
      <c r="G46" s="28"/>
      <c r="H46" s="28"/>
      <c r="I46" s="28"/>
      <c r="J46" s="28"/>
      <c r="K46" s="28"/>
      <c r="L46" s="28"/>
      <c r="M46" s="16"/>
    </row>
    <row r="47" spans="2:13">
      <c r="B47" s="227" t="s">
        <v>461</v>
      </c>
      <c r="C47" s="28"/>
      <c r="D47" s="28"/>
      <c r="E47" s="28"/>
      <c r="F47" s="28"/>
      <c r="G47" s="28"/>
      <c r="H47" s="28"/>
      <c r="I47" s="28"/>
      <c r="J47" s="28"/>
      <c r="K47" s="28"/>
      <c r="L47" s="28"/>
      <c r="M47" s="16"/>
    </row>
    <row r="48" spans="2:13">
      <c r="B48" s="227"/>
      <c r="C48" s="28"/>
      <c r="D48" s="28"/>
      <c r="E48" s="28"/>
      <c r="F48" s="28"/>
      <c r="G48" s="28"/>
      <c r="H48" s="28"/>
      <c r="I48" s="28"/>
      <c r="J48" s="28"/>
      <c r="K48" s="28"/>
      <c r="L48" s="28"/>
      <c r="M48" s="16"/>
    </row>
    <row r="49" spans="2:13">
      <c r="B49" s="227"/>
      <c r="C49" s="28"/>
      <c r="D49" s="28"/>
      <c r="E49" s="28"/>
      <c r="F49" s="28"/>
      <c r="G49" s="28"/>
      <c r="H49" s="28"/>
      <c r="I49" s="28"/>
      <c r="J49" s="28"/>
      <c r="K49" s="28"/>
      <c r="L49" s="28"/>
      <c r="M49" s="16"/>
    </row>
    <row r="50" spans="2:13">
      <c r="B50" s="227"/>
      <c r="C50" s="28"/>
      <c r="D50" s="28"/>
      <c r="E50" s="28"/>
      <c r="F50" s="28"/>
      <c r="G50" s="28"/>
      <c r="H50" s="28"/>
      <c r="I50" s="28"/>
      <c r="J50" s="28"/>
      <c r="K50" s="28"/>
      <c r="L50" s="28"/>
      <c r="M50" s="16"/>
    </row>
    <row r="51" spans="2:13">
      <c r="B51" s="227"/>
      <c r="C51" s="28"/>
      <c r="D51" s="28"/>
      <c r="E51" s="28"/>
      <c r="F51" s="28"/>
      <c r="G51" s="28"/>
      <c r="H51" s="28"/>
      <c r="I51" s="28"/>
      <c r="J51" s="28"/>
      <c r="K51" s="28"/>
      <c r="L51" s="28"/>
      <c r="M51" s="16"/>
    </row>
    <row r="52" spans="2:13">
      <c r="B52" s="74"/>
      <c r="C52" s="28"/>
      <c r="D52" s="28"/>
      <c r="E52" s="28"/>
      <c r="F52" s="28"/>
      <c r="G52" s="28"/>
      <c r="H52" s="28"/>
      <c r="I52" s="28"/>
      <c r="J52" s="28"/>
      <c r="K52" s="28"/>
      <c r="L52" s="28"/>
      <c r="M52" s="16"/>
    </row>
    <row r="53" spans="2:13">
      <c r="B53" s="74" t="s">
        <v>462</v>
      </c>
      <c r="C53" s="28"/>
      <c r="D53" s="28"/>
      <c r="E53" s="28"/>
      <c r="F53" s="28"/>
      <c r="G53" s="28"/>
      <c r="H53" s="28"/>
      <c r="I53" s="28"/>
      <c r="J53" s="28"/>
      <c r="K53" s="28"/>
      <c r="L53" s="28"/>
      <c r="M53" s="16"/>
    </row>
    <row r="54" spans="2:13">
      <c r="B54" s="74" t="s">
        <v>463</v>
      </c>
      <c r="C54" s="28"/>
      <c r="D54" s="28"/>
      <c r="E54" s="28"/>
      <c r="F54" s="28"/>
      <c r="G54" s="28"/>
      <c r="H54" s="28"/>
      <c r="I54" s="28"/>
      <c r="J54" s="28"/>
      <c r="K54" s="28"/>
      <c r="L54" s="28"/>
      <c r="M54" s="16"/>
    </row>
    <row r="55" spans="2:13">
      <c r="B55" s="74" t="s">
        <v>464</v>
      </c>
      <c r="C55" s="28"/>
      <c r="D55" s="28"/>
      <c r="E55" s="28"/>
      <c r="F55" s="28"/>
      <c r="G55" s="28"/>
      <c r="H55" s="28"/>
      <c r="I55" s="28"/>
      <c r="J55" s="28"/>
      <c r="K55" s="28"/>
      <c r="L55" s="28"/>
      <c r="M55" s="16"/>
    </row>
    <row r="56" spans="2:13" ht="15.75" thickBot="1">
      <c r="B56" s="74"/>
      <c r="C56" s="28"/>
      <c r="D56" s="28"/>
      <c r="E56" s="28"/>
      <c r="F56" s="28"/>
      <c r="G56" s="28"/>
      <c r="H56" s="28"/>
      <c r="I56" s="28"/>
      <c r="J56" s="28"/>
      <c r="K56" s="28"/>
      <c r="L56" s="28"/>
      <c r="M56" s="16"/>
    </row>
    <row r="57" spans="2:13" ht="117" customHeight="1" thickBot="1">
      <c r="B57" s="560" t="s">
        <v>480</v>
      </c>
      <c r="C57" s="561"/>
      <c r="D57" s="561"/>
      <c r="E57" s="561"/>
      <c r="F57" s="561"/>
      <c r="G57" s="561"/>
      <c r="H57" s="561"/>
      <c r="I57" s="561"/>
      <c r="J57" s="561"/>
      <c r="K57" s="561"/>
      <c r="L57" s="561"/>
      <c r="M57" s="562"/>
    </row>
    <row r="58" spans="2:13" ht="64.5" customHeight="1" thickBot="1">
      <c r="B58" s="560"/>
      <c r="C58" s="561"/>
      <c r="D58" s="561"/>
      <c r="E58" s="561"/>
      <c r="F58" s="561"/>
      <c r="G58" s="561"/>
      <c r="H58" s="561"/>
      <c r="I58" s="561"/>
      <c r="J58" s="561"/>
      <c r="K58" s="561"/>
      <c r="L58" s="561"/>
      <c r="M58" s="562"/>
    </row>
    <row r="59" spans="2:13" ht="15.75" thickBot="1">
      <c r="B59" s="228" t="s">
        <v>465</v>
      </c>
      <c r="C59" s="229" t="s">
        <v>466</v>
      </c>
      <c r="D59" s="229"/>
      <c r="E59" s="229"/>
      <c r="F59" s="229" t="s">
        <v>467</v>
      </c>
      <c r="G59" s="229"/>
      <c r="H59" s="229"/>
      <c r="I59" s="229"/>
      <c r="J59" s="229"/>
      <c r="K59" s="229" t="s">
        <v>468</v>
      </c>
      <c r="L59" s="229"/>
      <c r="M59" s="230"/>
    </row>
    <row r="60" spans="2:13" ht="63.75" customHeight="1" thickBot="1">
      <c r="B60" s="531"/>
      <c r="C60" s="538"/>
      <c r="D60" s="538"/>
      <c r="E60" s="538"/>
      <c r="F60" s="538"/>
      <c r="G60" s="538"/>
      <c r="H60" s="538"/>
      <c r="I60" s="538"/>
      <c r="J60" s="538"/>
      <c r="K60" s="538"/>
      <c r="L60" s="538"/>
      <c r="M60" s="532"/>
    </row>
    <row r="61" spans="2:13" ht="15.75" thickBot="1">
      <c r="B61" s="228" t="s">
        <v>471</v>
      </c>
      <c r="C61" s="229" t="s">
        <v>472</v>
      </c>
      <c r="D61" s="229"/>
      <c r="E61" s="229"/>
      <c r="F61" s="229"/>
      <c r="G61" s="229"/>
      <c r="H61" s="229"/>
      <c r="I61" s="229"/>
      <c r="J61" s="229"/>
      <c r="K61" s="229"/>
      <c r="L61" s="229"/>
      <c r="M61" s="230"/>
    </row>
    <row r="63" spans="2:13" ht="15.75" thickBot="1"/>
    <row r="64" spans="2:13" ht="54.75" customHeight="1" thickBot="1">
      <c r="B64" s="563" t="s">
        <v>469</v>
      </c>
      <c r="C64" s="564"/>
      <c r="D64" s="564"/>
      <c r="E64" s="564"/>
      <c r="F64" s="564"/>
      <c r="G64" s="564"/>
      <c r="H64" s="564"/>
      <c r="I64" s="564"/>
      <c r="J64" s="564"/>
      <c r="K64" s="564"/>
      <c r="L64" s="564"/>
      <c r="M64" s="565"/>
    </row>
    <row r="65" spans="2:13" ht="32.25" thickBot="1">
      <c r="B65" s="235"/>
      <c r="C65" s="236"/>
      <c r="D65" s="236"/>
      <c r="E65" s="236"/>
      <c r="F65" s="236"/>
      <c r="G65" s="236"/>
      <c r="H65" s="240"/>
      <c r="I65" s="236"/>
      <c r="J65" s="236"/>
      <c r="K65" s="236"/>
      <c r="L65" s="236"/>
      <c r="M65" s="237"/>
    </row>
    <row r="66" spans="2:13">
      <c r="B66" s="233"/>
      <c r="C66" s="234"/>
      <c r="D66" s="538"/>
      <c r="E66" s="538"/>
      <c r="F66" s="538"/>
      <c r="G66" s="538"/>
      <c r="H66" s="545"/>
      <c r="I66" s="548"/>
      <c r="J66" s="538"/>
      <c r="K66" s="538"/>
      <c r="L66" s="538"/>
      <c r="M66" s="532"/>
    </row>
    <row r="67" spans="2:13">
      <c r="B67" s="37"/>
      <c r="D67" s="408"/>
      <c r="E67" s="408"/>
      <c r="F67" s="408"/>
      <c r="G67" s="408"/>
      <c r="H67" s="546"/>
      <c r="I67" s="549"/>
      <c r="J67" s="408"/>
      <c r="K67" s="408"/>
      <c r="L67" s="408"/>
      <c r="M67" s="409"/>
    </row>
    <row r="68" spans="2:13">
      <c r="B68" s="37"/>
      <c r="D68" s="408"/>
      <c r="E68" s="408"/>
      <c r="F68" s="408"/>
      <c r="G68" s="408"/>
      <c r="H68" s="546"/>
      <c r="I68" s="549"/>
      <c r="J68" s="408"/>
      <c r="K68" s="408"/>
      <c r="L68" s="408"/>
      <c r="M68" s="409"/>
    </row>
    <row r="69" spans="2:13">
      <c r="B69" s="37"/>
      <c r="D69" s="408"/>
      <c r="E69" s="408"/>
      <c r="F69" s="408"/>
      <c r="G69" s="408"/>
      <c r="H69" s="546"/>
      <c r="I69" s="549"/>
      <c r="J69" s="408"/>
      <c r="K69" s="408"/>
      <c r="L69" s="408"/>
      <c r="M69" s="409"/>
    </row>
    <row r="70" spans="2:13">
      <c r="B70" s="37"/>
      <c r="D70" s="408"/>
      <c r="E70" s="408"/>
      <c r="F70" s="408"/>
      <c r="G70" s="408"/>
      <c r="H70" s="546"/>
      <c r="I70" s="549"/>
      <c r="J70" s="408"/>
      <c r="K70" s="408"/>
      <c r="L70" s="408"/>
      <c r="M70" s="409"/>
    </row>
    <row r="71" spans="2:13">
      <c r="B71" s="37"/>
      <c r="D71" s="408"/>
      <c r="E71" s="408"/>
      <c r="F71" s="408"/>
      <c r="G71" s="408"/>
      <c r="H71" s="546"/>
      <c r="I71" s="549"/>
      <c r="J71" s="408"/>
      <c r="K71" s="408"/>
      <c r="L71" s="408"/>
      <c r="M71" s="409"/>
    </row>
    <row r="72" spans="2:13">
      <c r="B72" s="37"/>
      <c r="D72" s="408"/>
      <c r="E72" s="408"/>
      <c r="F72" s="408"/>
      <c r="G72" s="408"/>
      <c r="H72" s="546"/>
      <c r="I72" s="549"/>
      <c r="J72" s="408"/>
      <c r="K72" s="408"/>
      <c r="L72" s="408"/>
      <c r="M72" s="409"/>
    </row>
    <row r="73" spans="2:13">
      <c r="B73" s="37"/>
      <c r="D73" s="408"/>
      <c r="E73" s="408"/>
      <c r="F73" s="408"/>
      <c r="G73" s="408"/>
      <c r="H73" s="546"/>
      <c r="I73" s="549"/>
      <c r="J73" s="408"/>
      <c r="K73" s="408"/>
      <c r="L73" s="408"/>
      <c r="M73" s="409"/>
    </row>
    <row r="74" spans="2:13">
      <c r="B74" s="37"/>
      <c r="D74" s="408"/>
      <c r="E74" s="408"/>
      <c r="F74" s="408"/>
      <c r="G74" s="408"/>
      <c r="H74" s="546"/>
      <c r="I74" s="549"/>
      <c r="J74" s="408"/>
      <c r="K74" s="408"/>
      <c r="L74" s="408"/>
      <c r="M74" s="409"/>
    </row>
    <row r="75" spans="2:13">
      <c r="B75" s="37"/>
      <c r="D75" s="408"/>
      <c r="E75" s="408"/>
      <c r="F75" s="408"/>
      <c r="G75" s="408"/>
      <c r="H75" s="546"/>
      <c r="I75" s="549"/>
      <c r="J75" s="408"/>
      <c r="K75" s="408"/>
      <c r="L75" s="408"/>
      <c r="M75" s="409"/>
    </row>
    <row r="76" spans="2:13">
      <c r="B76" s="37"/>
      <c r="D76" s="408"/>
      <c r="E76" s="408"/>
      <c r="F76" s="408"/>
      <c r="G76" s="408"/>
      <c r="H76" s="546"/>
      <c r="I76" s="549"/>
      <c r="J76" s="408"/>
      <c r="K76" s="408"/>
      <c r="L76" s="408"/>
      <c r="M76" s="409"/>
    </row>
    <row r="77" spans="2:13">
      <c r="B77" s="37"/>
      <c r="D77" s="408"/>
      <c r="E77" s="408"/>
      <c r="F77" s="408"/>
      <c r="G77" s="408"/>
      <c r="H77" s="546"/>
      <c r="I77" s="549"/>
      <c r="J77" s="408"/>
      <c r="K77" s="408"/>
      <c r="L77" s="408"/>
      <c r="M77" s="409"/>
    </row>
    <row r="78" spans="2:13">
      <c r="B78" s="37"/>
      <c r="D78" s="408"/>
      <c r="E78" s="408"/>
      <c r="F78" s="408"/>
      <c r="G78" s="408"/>
      <c r="H78" s="546"/>
      <c r="I78" s="549"/>
      <c r="J78" s="408"/>
      <c r="K78" s="408"/>
      <c r="L78" s="408"/>
      <c r="M78" s="409"/>
    </row>
    <row r="79" spans="2:13">
      <c r="B79" s="37"/>
      <c r="D79" s="408"/>
      <c r="E79" s="408"/>
      <c r="F79" s="408"/>
      <c r="G79" s="408"/>
      <c r="H79" s="546"/>
      <c r="I79" s="549"/>
      <c r="J79" s="408"/>
      <c r="K79" s="408"/>
      <c r="L79" s="408"/>
      <c r="M79" s="409"/>
    </row>
    <row r="80" spans="2:13">
      <c r="B80" s="37"/>
      <c r="D80" s="408"/>
      <c r="E80" s="408"/>
      <c r="F80" s="408"/>
      <c r="G80" s="408"/>
      <c r="H80" s="546"/>
      <c r="I80" s="549"/>
      <c r="J80" s="408"/>
      <c r="K80" s="408"/>
      <c r="L80" s="408"/>
      <c r="M80" s="409"/>
    </row>
    <row r="81" spans="2:13" ht="15.75" thickBot="1">
      <c r="B81" s="238"/>
      <c r="C81" s="239"/>
      <c r="D81" s="510"/>
      <c r="E81" s="510"/>
      <c r="F81" s="510"/>
      <c r="G81" s="510"/>
      <c r="H81" s="547"/>
      <c r="I81" s="550"/>
      <c r="J81" s="510"/>
      <c r="K81" s="510"/>
      <c r="L81" s="510"/>
      <c r="M81" s="533"/>
    </row>
    <row r="82" spans="2:13" ht="32.25" thickBot="1">
      <c r="B82" s="235"/>
      <c r="C82" s="236"/>
      <c r="D82" s="236"/>
      <c r="E82" s="236"/>
      <c r="F82" s="236"/>
      <c r="G82" s="236"/>
      <c r="H82" s="240"/>
      <c r="I82" s="236"/>
      <c r="J82" s="236"/>
      <c r="K82" s="236"/>
      <c r="L82" s="236"/>
      <c r="M82" s="237"/>
    </row>
    <row r="83" spans="2:13">
      <c r="B83" s="233"/>
      <c r="C83" s="234"/>
      <c r="D83" s="538"/>
      <c r="E83" s="538"/>
      <c r="F83" s="538"/>
      <c r="G83" s="538"/>
      <c r="H83" s="545"/>
      <c r="I83" s="548"/>
      <c r="J83" s="538"/>
      <c r="K83" s="538"/>
      <c r="L83" s="538"/>
      <c r="M83" s="532"/>
    </row>
    <row r="84" spans="2:13">
      <c r="B84" s="37"/>
      <c r="D84" s="408"/>
      <c r="E84" s="408"/>
      <c r="F84" s="408"/>
      <c r="G84" s="408"/>
      <c r="H84" s="546"/>
      <c r="I84" s="549"/>
      <c r="J84" s="408"/>
      <c r="K84" s="408"/>
      <c r="L84" s="408"/>
      <c r="M84" s="409"/>
    </row>
    <row r="85" spans="2:13">
      <c r="B85" s="37"/>
      <c r="D85" s="408"/>
      <c r="E85" s="408"/>
      <c r="F85" s="408"/>
      <c r="G85" s="408"/>
      <c r="H85" s="546"/>
      <c r="I85" s="549"/>
      <c r="J85" s="408"/>
      <c r="K85" s="408"/>
      <c r="L85" s="408"/>
      <c r="M85" s="409"/>
    </row>
    <row r="86" spans="2:13">
      <c r="B86" s="37"/>
      <c r="D86" s="408"/>
      <c r="E86" s="408"/>
      <c r="F86" s="408"/>
      <c r="G86" s="408"/>
      <c r="H86" s="546"/>
      <c r="I86" s="549"/>
      <c r="J86" s="408"/>
      <c r="K86" s="408"/>
      <c r="L86" s="408"/>
      <c r="M86" s="409"/>
    </row>
    <row r="87" spans="2:13">
      <c r="B87" s="37"/>
      <c r="D87" s="408"/>
      <c r="E87" s="408"/>
      <c r="F87" s="408"/>
      <c r="G87" s="408"/>
      <c r="H87" s="546"/>
      <c r="I87" s="549"/>
      <c r="J87" s="408"/>
      <c r="K87" s="408"/>
      <c r="L87" s="408"/>
      <c r="M87" s="409"/>
    </row>
    <row r="88" spans="2:13">
      <c r="B88" s="37"/>
      <c r="D88" s="408"/>
      <c r="E88" s="408"/>
      <c r="F88" s="408"/>
      <c r="G88" s="408"/>
      <c r="H88" s="546"/>
      <c r="I88" s="549"/>
      <c r="J88" s="408"/>
      <c r="K88" s="408"/>
      <c r="L88" s="408"/>
      <c r="M88" s="409"/>
    </row>
    <row r="89" spans="2:13">
      <c r="B89" s="37"/>
      <c r="D89" s="408"/>
      <c r="E89" s="408"/>
      <c r="F89" s="408"/>
      <c r="G89" s="408"/>
      <c r="H89" s="546"/>
      <c r="I89" s="549"/>
      <c r="J89" s="408"/>
      <c r="K89" s="408"/>
      <c r="L89" s="408"/>
      <c r="M89" s="409"/>
    </row>
    <row r="90" spans="2:13">
      <c r="B90" s="37"/>
      <c r="D90" s="408"/>
      <c r="E90" s="408"/>
      <c r="F90" s="408"/>
      <c r="G90" s="408"/>
      <c r="H90" s="546"/>
      <c r="I90" s="549"/>
      <c r="J90" s="408"/>
      <c r="K90" s="408"/>
      <c r="L90" s="408"/>
      <c r="M90" s="409"/>
    </row>
    <row r="91" spans="2:13">
      <c r="B91" s="37"/>
      <c r="D91" s="408"/>
      <c r="E91" s="408"/>
      <c r="F91" s="408"/>
      <c r="G91" s="408"/>
      <c r="H91" s="546"/>
      <c r="I91" s="549"/>
      <c r="J91" s="408"/>
      <c r="K91" s="408"/>
      <c r="L91" s="408"/>
      <c r="M91" s="409"/>
    </row>
    <row r="92" spans="2:13">
      <c r="B92" s="37"/>
      <c r="D92" s="408"/>
      <c r="E92" s="408"/>
      <c r="F92" s="408"/>
      <c r="G92" s="408"/>
      <c r="H92" s="546"/>
      <c r="I92" s="549"/>
      <c r="J92" s="408"/>
      <c r="K92" s="408"/>
      <c r="L92" s="408"/>
      <c r="M92" s="409"/>
    </row>
    <row r="93" spans="2:13">
      <c r="B93" s="37"/>
      <c r="D93" s="408"/>
      <c r="E93" s="408"/>
      <c r="F93" s="408"/>
      <c r="G93" s="408"/>
      <c r="H93" s="546"/>
      <c r="I93" s="549"/>
      <c r="J93" s="408"/>
      <c r="K93" s="408"/>
      <c r="L93" s="408"/>
      <c r="M93" s="409"/>
    </row>
    <row r="94" spans="2:13">
      <c r="B94" s="37"/>
      <c r="D94" s="408"/>
      <c r="E94" s="408"/>
      <c r="F94" s="408"/>
      <c r="G94" s="408"/>
      <c r="H94" s="546"/>
      <c r="I94" s="549"/>
      <c r="J94" s="408"/>
      <c r="K94" s="408"/>
      <c r="L94" s="408"/>
      <c r="M94" s="409"/>
    </row>
    <row r="95" spans="2:13">
      <c r="B95" s="37"/>
      <c r="D95" s="408"/>
      <c r="E95" s="408"/>
      <c r="F95" s="408"/>
      <c r="G95" s="408"/>
      <c r="H95" s="546"/>
      <c r="I95" s="549"/>
      <c r="J95" s="408"/>
      <c r="K95" s="408"/>
      <c r="L95" s="408"/>
      <c r="M95" s="409"/>
    </row>
    <row r="96" spans="2:13">
      <c r="B96" s="37"/>
      <c r="D96" s="408"/>
      <c r="E96" s="408"/>
      <c r="F96" s="408"/>
      <c r="G96" s="408"/>
      <c r="H96" s="546"/>
      <c r="I96" s="549"/>
      <c r="J96" s="408"/>
      <c r="K96" s="408"/>
      <c r="L96" s="408"/>
      <c r="M96" s="409"/>
    </row>
    <row r="97" spans="2:13">
      <c r="B97" s="37"/>
      <c r="D97" s="408"/>
      <c r="E97" s="408"/>
      <c r="F97" s="408"/>
      <c r="G97" s="408"/>
      <c r="H97" s="546"/>
      <c r="I97" s="549"/>
      <c r="J97" s="408"/>
      <c r="K97" s="408"/>
      <c r="L97" s="408"/>
      <c r="M97" s="409"/>
    </row>
    <row r="98" spans="2:13" ht="15.75" thickBot="1">
      <c r="B98" s="37"/>
      <c r="D98" s="510"/>
      <c r="E98" s="510"/>
      <c r="F98" s="510"/>
      <c r="G98" s="510"/>
      <c r="H98" s="547"/>
      <c r="I98" s="550"/>
      <c r="J98" s="510"/>
      <c r="K98" s="510"/>
      <c r="L98" s="510"/>
      <c r="M98" s="533"/>
    </row>
    <row r="99" spans="2:13" ht="32.25" thickBot="1">
      <c r="B99" s="235"/>
      <c r="C99" s="236"/>
      <c r="D99" s="236"/>
      <c r="E99" s="236"/>
      <c r="F99" s="236"/>
      <c r="G99" s="236"/>
      <c r="H99" s="240"/>
      <c r="I99" s="236"/>
      <c r="J99" s="236"/>
      <c r="K99" s="236"/>
      <c r="L99" s="236"/>
      <c r="M99" s="237"/>
    </row>
    <row r="100" spans="2:13">
      <c r="B100" s="37"/>
      <c r="D100" s="538"/>
      <c r="E100" s="538"/>
      <c r="F100" s="538"/>
      <c r="G100" s="538"/>
      <c r="H100" s="545"/>
      <c r="I100" s="548"/>
      <c r="J100" s="538"/>
      <c r="K100" s="538"/>
      <c r="L100" s="538"/>
      <c r="M100" s="532"/>
    </row>
    <row r="101" spans="2:13">
      <c r="B101" s="37"/>
      <c r="D101" s="408"/>
      <c r="E101" s="408"/>
      <c r="F101" s="408"/>
      <c r="G101" s="408"/>
      <c r="H101" s="546"/>
      <c r="I101" s="549"/>
      <c r="J101" s="408"/>
      <c r="K101" s="408"/>
      <c r="L101" s="408"/>
      <c r="M101" s="409"/>
    </row>
    <row r="102" spans="2:13">
      <c r="B102" s="37"/>
      <c r="D102" s="408"/>
      <c r="E102" s="408"/>
      <c r="F102" s="408"/>
      <c r="G102" s="408"/>
      <c r="H102" s="546"/>
      <c r="I102" s="549"/>
      <c r="J102" s="408"/>
      <c r="K102" s="408"/>
      <c r="L102" s="408"/>
      <c r="M102" s="409"/>
    </row>
    <row r="103" spans="2:13">
      <c r="B103" s="37"/>
      <c r="D103" s="408"/>
      <c r="E103" s="408"/>
      <c r="F103" s="408"/>
      <c r="G103" s="408"/>
      <c r="H103" s="546"/>
      <c r="I103" s="549"/>
      <c r="J103" s="408"/>
      <c r="K103" s="408"/>
      <c r="L103" s="408"/>
      <c r="M103" s="409"/>
    </row>
    <row r="104" spans="2:13">
      <c r="B104" s="37"/>
      <c r="D104" s="408"/>
      <c r="E104" s="408"/>
      <c r="F104" s="408"/>
      <c r="G104" s="408"/>
      <c r="H104" s="546"/>
      <c r="I104" s="549"/>
      <c r="J104" s="408"/>
      <c r="K104" s="408"/>
      <c r="L104" s="408"/>
      <c r="M104" s="409"/>
    </row>
    <row r="105" spans="2:13">
      <c r="B105" s="37"/>
      <c r="D105" s="408"/>
      <c r="E105" s="408"/>
      <c r="F105" s="408"/>
      <c r="G105" s="408"/>
      <c r="H105" s="546"/>
      <c r="I105" s="549"/>
      <c r="J105" s="408"/>
      <c r="K105" s="408"/>
      <c r="L105" s="408"/>
      <c r="M105" s="409"/>
    </row>
    <row r="106" spans="2:13">
      <c r="B106" s="37"/>
      <c r="D106" s="408"/>
      <c r="E106" s="408"/>
      <c r="F106" s="408"/>
      <c r="G106" s="408"/>
      <c r="H106" s="546"/>
      <c r="I106" s="549"/>
      <c r="J106" s="408"/>
      <c r="K106" s="408"/>
      <c r="L106" s="408"/>
      <c r="M106" s="409"/>
    </row>
    <row r="107" spans="2:13">
      <c r="B107" s="37"/>
      <c r="D107" s="408"/>
      <c r="E107" s="408"/>
      <c r="F107" s="408"/>
      <c r="G107" s="408"/>
      <c r="H107" s="546"/>
      <c r="I107" s="549"/>
      <c r="J107" s="408"/>
      <c r="K107" s="408"/>
      <c r="L107" s="408"/>
      <c r="M107" s="409"/>
    </row>
    <row r="108" spans="2:13">
      <c r="B108" s="37"/>
      <c r="D108" s="408"/>
      <c r="E108" s="408"/>
      <c r="F108" s="408"/>
      <c r="G108" s="408"/>
      <c r="H108" s="546"/>
      <c r="I108" s="549"/>
      <c r="J108" s="408"/>
      <c r="K108" s="408"/>
      <c r="L108" s="408"/>
      <c r="M108" s="409"/>
    </row>
    <row r="109" spans="2:13">
      <c r="B109" s="37"/>
      <c r="D109" s="408"/>
      <c r="E109" s="408"/>
      <c r="F109" s="408"/>
      <c r="G109" s="408"/>
      <c r="H109" s="546"/>
      <c r="I109" s="549"/>
      <c r="J109" s="408"/>
      <c r="K109" s="408"/>
      <c r="L109" s="408"/>
      <c r="M109" s="409"/>
    </row>
    <row r="110" spans="2:13">
      <c r="B110" s="37"/>
      <c r="D110" s="408"/>
      <c r="E110" s="408"/>
      <c r="F110" s="408"/>
      <c r="G110" s="408"/>
      <c r="H110" s="546"/>
      <c r="I110" s="549"/>
      <c r="J110" s="408"/>
      <c r="K110" s="408"/>
      <c r="L110" s="408"/>
      <c r="M110" s="409"/>
    </row>
    <row r="111" spans="2:13">
      <c r="B111" s="37"/>
      <c r="D111" s="408"/>
      <c r="E111" s="408"/>
      <c r="F111" s="408"/>
      <c r="G111" s="408"/>
      <c r="H111" s="546"/>
      <c r="I111" s="549"/>
      <c r="J111" s="408"/>
      <c r="K111" s="408"/>
      <c r="L111" s="408"/>
      <c r="M111" s="409"/>
    </row>
    <row r="112" spans="2:13">
      <c r="B112" s="37"/>
      <c r="D112" s="408"/>
      <c r="E112" s="408"/>
      <c r="F112" s="408"/>
      <c r="G112" s="408"/>
      <c r="H112" s="546"/>
      <c r="I112" s="549"/>
      <c r="J112" s="408"/>
      <c r="K112" s="408"/>
      <c r="L112" s="408"/>
      <c r="M112" s="409"/>
    </row>
    <row r="113" spans="2:13">
      <c r="B113" s="37"/>
      <c r="D113" s="408"/>
      <c r="E113" s="408"/>
      <c r="F113" s="408"/>
      <c r="G113" s="408"/>
      <c r="H113" s="546"/>
      <c r="I113" s="549"/>
      <c r="J113" s="408"/>
      <c r="K113" s="408"/>
      <c r="L113" s="408"/>
      <c r="M113" s="409"/>
    </row>
    <row r="114" spans="2:13">
      <c r="B114" s="37"/>
      <c r="D114" s="408"/>
      <c r="E114" s="408"/>
      <c r="F114" s="408"/>
      <c r="G114" s="408"/>
      <c r="H114" s="546"/>
      <c r="I114" s="549"/>
      <c r="J114" s="408"/>
      <c r="K114" s="408"/>
      <c r="L114" s="408"/>
      <c r="M114" s="409"/>
    </row>
    <row r="115" spans="2:13">
      <c r="B115" s="37"/>
      <c r="D115" s="408"/>
      <c r="E115" s="408"/>
      <c r="F115" s="408"/>
      <c r="G115" s="408"/>
      <c r="H115" s="546"/>
      <c r="I115" s="549"/>
      <c r="J115" s="408"/>
      <c r="K115" s="408"/>
      <c r="L115" s="408"/>
      <c r="M115" s="409"/>
    </row>
    <row r="116" spans="2:13" ht="15.75" thickBot="1">
      <c r="B116" s="37"/>
      <c r="D116" s="510"/>
      <c r="E116" s="510"/>
      <c r="F116" s="510"/>
      <c r="G116" s="510"/>
      <c r="H116" s="547"/>
      <c r="I116" s="550"/>
      <c r="J116" s="510"/>
      <c r="K116" s="510"/>
      <c r="L116" s="510"/>
      <c r="M116" s="533"/>
    </row>
    <row r="117" spans="2:13" ht="32.25" thickBot="1">
      <c r="B117" s="235"/>
      <c r="C117" s="236"/>
      <c r="D117" s="236"/>
      <c r="E117" s="236"/>
      <c r="F117" s="236"/>
      <c r="G117" s="236"/>
      <c r="H117" s="240"/>
      <c r="I117" s="236"/>
      <c r="J117" s="236"/>
      <c r="K117" s="236"/>
      <c r="L117" s="236"/>
      <c r="M117" s="237"/>
    </row>
    <row r="118" spans="2:13">
      <c r="B118" s="233"/>
      <c r="C118" s="234"/>
      <c r="D118" s="538"/>
      <c r="E118" s="538"/>
      <c r="F118" s="538"/>
      <c r="G118" s="538"/>
      <c r="H118" s="545"/>
      <c r="I118" s="548"/>
      <c r="J118" s="538"/>
      <c r="K118" s="538"/>
      <c r="L118" s="538"/>
      <c r="M118" s="532"/>
    </row>
    <row r="119" spans="2:13">
      <c r="B119" s="37"/>
      <c r="D119" s="408"/>
      <c r="E119" s="408"/>
      <c r="F119" s="408"/>
      <c r="G119" s="408"/>
      <c r="H119" s="546"/>
      <c r="I119" s="549"/>
      <c r="J119" s="408"/>
      <c r="K119" s="408"/>
      <c r="L119" s="408"/>
      <c r="M119" s="409"/>
    </row>
    <row r="120" spans="2:13">
      <c r="B120" s="37"/>
      <c r="D120" s="408"/>
      <c r="E120" s="408"/>
      <c r="F120" s="408"/>
      <c r="G120" s="408"/>
      <c r="H120" s="546"/>
      <c r="I120" s="549"/>
      <c r="J120" s="408"/>
      <c r="K120" s="408"/>
      <c r="L120" s="408"/>
      <c r="M120" s="409"/>
    </row>
    <row r="121" spans="2:13">
      <c r="B121" s="37"/>
      <c r="D121" s="408"/>
      <c r="E121" s="408"/>
      <c r="F121" s="408"/>
      <c r="G121" s="408"/>
      <c r="H121" s="546"/>
      <c r="I121" s="549"/>
      <c r="J121" s="408"/>
      <c r="K121" s="408"/>
      <c r="L121" s="408"/>
      <c r="M121" s="409"/>
    </row>
    <row r="122" spans="2:13">
      <c r="B122" s="37"/>
      <c r="D122" s="408"/>
      <c r="E122" s="408"/>
      <c r="F122" s="408"/>
      <c r="G122" s="408"/>
      <c r="H122" s="546"/>
      <c r="I122" s="549"/>
      <c r="J122" s="408"/>
      <c r="K122" s="408"/>
      <c r="L122" s="408"/>
      <c r="M122" s="409"/>
    </row>
    <row r="123" spans="2:13">
      <c r="B123" s="37"/>
      <c r="D123" s="408"/>
      <c r="E123" s="408"/>
      <c r="F123" s="408"/>
      <c r="G123" s="408"/>
      <c r="H123" s="546"/>
      <c r="I123" s="549"/>
      <c r="J123" s="408"/>
      <c r="K123" s="408"/>
      <c r="L123" s="408"/>
      <c r="M123" s="409"/>
    </row>
    <row r="124" spans="2:13">
      <c r="B124" s="37"/>
      <c r="D124" s="408"/>
      <c r="E124" s="408"/>
      <c r="F124" s="408"/>
      <c r="G124" s="408"/>
      <c r="H124" s="546"/>
      <c r="I124" s="549"/>
      <c r="J124" s="408"/>
      <c r="K124" s="408"/>
      <c r="L124" s="408"/>
      <c r="M124" s="409"/>
    </row>
    <row r="125" spans="2:13">
      <c r="B125" s="37"/>
      <c r="D125" s="408"/>
      <c r="E125" s="408"/>
      <c r="F125" s="408"/>
      <c r="G125" s="408"/>
      <c r="H125" s="546"/>
      <c r="I125" s="549"/>
      <c r="J125" s="408"/>
      <c r="K125" s="408"/>
      <c r="L125" s="408"/>
      <c r="M125" s="409"/>
    </row>
    <row r="126" spans="2:13">
      <c r="B126" s="37"/>
      <c r="D126" s="408"/>
      <c r="E126" s="408"/>
      <c r="F126" s="408"/>
      <c r="G126" s="408"/>
      <c r="H126" s="546"/>
      <c r="I126" s="549"/>
      <c r="J126" s="408"/>
      <c r="K126" s="408"/>
      <c r="L126" s="408"/>
      <c r="M126" s="409"/>
    </row>
    <row r="127" spans="2:13">
      <c r="B127" s="37"/>
      <c r="D127" s="408"/>
      <c r="E127" s="408"/>
      <c r="F127" s="408"/>
      <c r="G127" s="408"/>
      <c r="H127" s="546"/>
      <c r="I127" s="549"/>
      <c r="J127" s="408"/>
      <c r="K127" s="408"/>
      <c r="L127" s="408"/>
      <c r="M127" s="409"/>
    </row>
    <row r="128" spans="2:13">
      <c r="B128" s="37"/>
      <c r="D128" s="408"/>
      <c r="E128" s="408"/>
      <c r="F128" s="408"/>
      <c r="G128" s="408"/>
      <c r="H128" s="546"/>
      <c r="I128" s="549"/>
      <c r="J128" s="408"/>
      <c r="K128" s="408"/>
      <c r="L128" s="408"/>
      <c r="M128" s="409"/>
    </row>
    <row r="129" spans="2:13">
      <c r="B129" s="37"/>
      <c r="D129" s="408"/>
      <c r="E129" s="408"/>
      <c r="F129" s="408"/>
      <c r="G129" s="408"/>
      <c r="H129" s="546"/>
      <c r="I129" s="549"/>
      <c r="J129" s="408"/>
      <c r="K129" s="408"/>
      <c r="L129" s="408"/>
      <c r="M129" s="409"/>
    </row>
    <row r="130" spans="2:13">
      <c r="B130" s="37"/>
      <c r="D130" s="408"/>
      <c r="E130" s="408"/>
      <c r="F130" s="408"/>
      <c r="G130" s="408"/>
      <c r="H130" s="546"/>
      <c r="I130" s="549"/>
      <c r="J130" s="408"/>
      <c r="K130" s="408"/>
      <c r="L130" s="408"/>
      <c r="M130" s="409"/>
    </row>
    <row r="131" spans="2:13">
      <c r="B131" s="37"/>
      <c r="D131" s="408"/>
      <c r="E131" s="408"/>
      <c r="F131" s="408"/>
      <c r="G131" s="408"/>
      <c r="H131" s="546"/>
      <c r="I131" s="549"/>
      <c r="J131" s="408"/>
      <c r="K131" s="408"/>
      <c r="L131" s="408"/>
      <c r="M131" s="409"/>
    </row>
    <row r="132" spans="2:13">
      <c r="B132" s="37"/>
      <c r="D132" s="408"/>
      <c r="E132" s="408"/>
      <c r="F132" s="408"/>
      <c r="G132" s="408"/>
      <c r="H132" s="546"/>
      <c r="I132" s="549"/>
      <c r="J132" s="408"/>
      <c r="K132" s="408"/>
      <c r="L132" s="408"/>
      <c r="M132" s="409"/>
    </row>
    <row r="133" spans="2:13" ht="15.75" thickBot="1">
      <c r="B133" s="37"/>
      <c r="D133" s="510"/>
      <c r="E133" s="510"/>
      <c r="F133" s="510"/>
      <c r="G133" s="510"/>
      <c r="H133" s="547"/>
      <c r="I133" s="550"/>
      <c r="J133" s="510"/>
      <c r="K133" s="510"/>
      <c r="L133" s="510"/>
      <c r="M133" s="533"/>
    </row>
    <row r="134" spans="2:13" ht="32.25" thickBot="1">
      <c r="B134" s="235"/>
      <c r="C134" s="236"/>
      <c r="D134" s="236"/>
      <c r="E134" s="236"/>
      <c r="F134" s="236"/>
      <c r="G134" s="236"/>
      <c r="H134" s="240"/>
      <c r="I134" s="236"/>
      <c r="J134" s="236"/>
      <c r="K134" s="236"/>
      <c r="L134" s="236"/>
      <c r="M134" s="237"/>
    </row>
    <row r="135" spans="2:13" ht="73.5" customHeight="1" thickBot="1">
      <c r="B135" s="531"/>
      <c r="C135" s="538"/>
      <c r="D135" s="538"/>
      <c r="E135" s="538"/>
      <c r="F135" s="538"/>
      <c r="G135" s="538"/>
      <c r="H135" s="538"/>
      <c r="I135" s="538"/>
      <c r="J135" s="538"/>
      <c r="K135" s="538"/>
      <c r="L135" s="538"/>
      <c r="M135" s="532"/>
    </row>
    <row r="136" spans="2:13" ht="15.75" thickBot="1">
      <c r="B136" s="228" t="s">
        <v>465</v>
      </c>
      <c r="C136" s="229" t="s">
        <v>466</v>
      </c>
      <c r="D136" s="229"/>
      <c r="E136" s="229"/>
      <c r="F136" s="229" t="s">
        <v>467</v>
      </c>
      <c r="G136" s="229"/>
      <c r="H136" s="229"/>
      <c r="I136" s="229"/>
      <c r="J136" s="229"/>
      <c r="K136" s="229" t="s">
        <v>468</v>
      </c>
      <c r="L136" s="229"/>
      <c r="M136" s="230"/>
    </row>
    <row r="137" spans="2:13" ht="63.75" customHeight="1" thickBot="1">
      <c r="B137" s="531"/>
      <c r="C137" s="538"/>
      <c r="D137" s="538"/>
      <c r="E137" s="538"/>
      <c r="F137" s="538"/>
      <c r="G137" s="538"/>
      <c r="H137" s="538"/>
      <c r="I137" s="538"/>
      <c r="J137" s="538"/>
      <c r="K137" s="538"/>
      <c r="L137" s="538"/>
      <c r="M137" s="532"/>
    </row>
    <row r="138" spans="2:13" ht="15.75" thickBot="1">
      <c r="B138" s="228" t="s">
        <v>471</v>
      </c>
      <c r="C138" s="229" t="s">
        <v>472</v>
      </c>
      <c r="D138" s="229"/>
      <c r="E138" s="229"/>
      <c r="F138" s="229"/>
      <c r="G138" s="229"/>
      <c r="H138" s="229"/>
      <c r="I138" s="229"/>
      <c r="J138" s="229"/>
      <c r="K138" s="229"/>
      <c r="L138" s="229"/>
      <c r="M138" s="230"/>
    </row>
  </sheetData>
  <mergeCells count="33">
    <mergeCell ref="I100:M116"/>
    <mergeCell ref="D118:H133"/>
    <mergeCell ref="I118:M133"/>
    <mergeCell ref="B57:M57"/>
    <mergeCell ref="B64:M64"/>
    <mergeCell ref="B60:M60"/>
    <mergeCell ref="B58:M58"/>
    <mergeCell ref="B1:M1"/>
    <mergeCell ref="B14:M14"/>
    <mergeCell ref="I7:J7"/>
    <mergeCell ref="D66:H81"/>
    <mergeCell ref="I66:M81"/>
    <mergeCell ref="B2:M2"/>
    <mergeCell ref="C7:H7"/>
    <mergeCell ref="K7:M7"/>
    <mergeCell ref="C8:H8"/>
    <mergeCell ref="K8:M8"/>
    <mergeCell ref="B137:M137"/>
    <mergeCell ref="B135:M135"/>
    <mergeCell ref="D3:K3"/>
    <mergeCell ref="C12:H12"/>
    <mergeCell ref="K12:M12"/>
    <mergeCell ref="C9:H9"/>
    <mergeCell ref="K9:M9"/>
    <mergeCell ref="C10:H10"/>
    <mergeCell ref="I10:J10"/>
    <mergeCell ref="K10:M10"/>
    <mergeCell ref="C11:H11"/>
    <mergeCell ref="K11:M11"/>
    <mergeCell ref="B13:M13"/>
    <mergeCell ref="D83:H98"/>
    <mergeCell ref="I83:M98"/>
    <mergeCell ref="D100:H116"/>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8D619-5957-4130-AA7E-A8D196CECAB9}">
  <sheetPr codeName="Sheet1"/>
  <dimension ref="A1:L21"/>
  <sheetViews>
    <sheetView workbookViewId="0">
      <selection activeCell="O7" sqref="O7"/>
    </sheetView>
  </sheetViews>
  <sheetFormatPr defaultRowHeight="15"/>
  <cols>
    <col min="2" max="2" width="17.42578125" bestFit="1" customWidth="1"/>
    <col min="3" max="3" width="30.140625" customWidth="1"/>
    <col min="4" max="4" width="18.7109375" bestFit="1" customWidth="1"/>
    <col min="5" max="5" width="14.7109375" bestFit="1" customWidth="1"/>
    <col min="6" max="6" width="21.5703125" bestFit="1" customWidth="1"/>
    <col min="7" max="7" width="14" customWidth="1"/>
    <col min="11" max="11" width="16.140625" bestFit="1" customWidth="1"/>
    <col min="12" max="12" width="10.85546875" customWidth="1"/>
  </cols>
  <sheetData>
    <row r="1" spans="1:12" s="8" customFormat="1" ht="81.75" customHeight="1">
      <c r="B1" s="399"/>
      <c r="C1" s="400"/>
      <c r="D1" s="400"/>
      <c r="E1" s="400"/>
      <c r="F1" s="400"/>
      <c r="G1" s="400"/>
      <c r="H1" s="400"/>
      <c r="I1" s="400"/>
      <c r="J1" s="400"/>
      <c r="K1" s="400"/>
      <c r="L1" s="401"/>
    </row>
    <row r="2" spans="1:12" ht="40.5" customHeight="1">
      <c r="B2" s="384" t="s">
        <v>158</v>
      </c>
      <c r="C2" s="385"/>
      <c r="D2" s="385"/>
      <c r="E2" s="385"/>
      <c r="F2" s="385"/>
      <c r="G2" s="385"/>
      <c r="H2" s="385"/>
      <c r="I2" s="385"/>
      <c r="J2" s="385"/>
      <c r="K2" s="385"/>
      <c r="L2" s="386"/>
    </row>
    <row r="3" spans="1:12" s="9" customFormat="1" ht="30.75" customHeight="1">
      <c r="A3"/>
      <c r="B3" s="39" t="s">
        <v>23</v>
      </c>
      <c r="C3" s="58"/>
      <c r="D3" s="458"/>
      <c r="E3" s="459"/>
      <c r="F3" s="459"/>
      <c r="G3" s="459"/>
      <c r="H3" s="459"/>
      <c r="I3" s="459"/>
      <c r="J3" s="460"/>
      <c r="K3" s="70" t="s">
        <v>170</v>
      </c>
      <c r="L3" s="140">
        <v>43413</v>
      </c>
    </row>
    <row r="4" spans="1:12" s="9" customFormat="1" ht="15.75" customHeight="1">
      <c r="A4"/>
      <c r="B4" s="41" t="s">
        <v>3</v>
      </c>
      <c r="C4" s="21"/>
      <c r="D4" s="461"/>
      <c r="E4" s="462"/>
      <c r="F4" s="462"/>
      <c r="G4" s="462"/>
      <c r="H4" s="462"/>
      <c r="I4" s="462"/>
      <c r="J4" s="462"/>
      <c r="K4" s="40" t="s">
        <v>5</v>
      </c>
      <c r="L4" s="203"/>
    </row>
    <row r="5" spans="1:12" s="9" customFormat="1" ht="18" customHeight="1">
      <c r="A5"/>
      <c r="B5" s="42" t="s">
        <v>72</v>
      </c>
      <c r="C5" s="59"/>
      <c r="D5" s="463"/>
      <c r="E5" s="402"/>
      <c r="F5" s="402"/>
      <c r="G5" s="402"/>
      <c r="H5" s="402"/>
      <c r="I5" s="402"/>
      <c r="J5" s="402"/>
      <c r="K5" s="402"/>
      <c r="L5" s="403"/>
    </row>
    <row r="6" spans="1:12" s="9" customFormat="1" ht="15.75" customHeight="1">
      <c r="A6"/>
      <c r="B6" s="43" t="s">
        <v>312</v>
      </c>
      <c r="C6" s="163"/>
      <c r="D6" s="463"/>
      <c r="E6" s="402"/>
      <c r="F6" s="402"/>
      <c r="G6" s="402"/>
      <c r="H6" s="402"/>
      <c r="I6" s="402"/>
      <c r="J6" s="402"/>
      <c r="K6" s="402"/>
      <c r="L6" s="403"/>
    </row>
    <row r="7" spans="1:12" s="9" customFormat="1" ht="15.75" customHeight="1">
      <c r="A7"/>
      <c r="B7" s="72"/>
      <c r="C7" s="73"/>
      <c r="D7" s="464"/>
      <c r="E7" s="404"/>
      <c r="F7" s="404"/>
      <c r="G7" s="404"/>
      <c r="H7" s="404"/>
      <c r="I7" s="404"/>
      <c r="J7" s="404"/>
      <c r="K7" s="404"/>
      <c r="L7" s="405"/>
    </row>
    <row r="8" spans="1:12" s="8" customFormat="1" ht="66" customHeight="1">
      <c r="A8"/>
      <c r="B8" s="164" t="s">
        <v>159</v>
      </c>
      <c r="C8" s="71" t="s">
        <v>160</v>
      </c>
      <c r="D8" s="71" t="s">
        <v>161</v>
      </c>
      <c r="E8" s="71" t="s">
        <v>162</v>
      </c>
      <c r="F8" s="166" t="s">
        <v>163</v>
      </c>
      <c r="G8" s="169" t="s">
        <v>165</v>
      </c>
      <c r="H8" s="497" t="s">
        <v>30</v>
      </c>
      <c r="I8" s="497"/>
      <c r="J8" s="497"/>
      <c r="K8" s="497"/>
      <c r="L8" s="498"/>
    </row>
    <row r="9" spans="1:12" ht="21.75" customHeight="1">
      <c r="B9" s="74" t="s">
        <v>164</v>
      </c>
      <c r="C9" s="28"/>
      <c r="D9" s="144"/>
      <c r="E9" s="144"/>
      <c r="F9" s="144"/>
      <c r="G9" s="144"/>
      <c r="H9" s="539"/>
      <c r="I9" s="539"/>
      <c r="J9" s="539"/>
      <c r="K9" s="539"/>
      <c r="L9" s="540"/>
    </row>
    <row r="10" spans="1:12" ht="21.75" customHeight="1">
      <c r="B10" s="74" t="s">
        <v>166</v>
      </c>
      <c r="C10" s="28"/>
      <c r="D10" s="144"/>
      <c r="E10" s="144"/>
      <c r="F10" s="144"/>
      <c r="G10" s="144"/>
      <c r="H10" s="539"/>
      <c r="I10" s="539"/>
      <c r="J10" s="539"/>
      <c r="K10" s="539"/>
      <c r="L10" s="540"/>
    </row>
    <row r="11" spans="1:12" ht="21.75" customHeight="1">
      <c r="B11" s="74" t="s">
        <v>167</v>
      </c>
      <c r="C11" s="28"/>
      <c r="D11" s="144"/>
      <c r="E11" s="144"/>
      <c r="F11" s="144"/>
      <c r="G11" s="144"/>
      <c r="H11" s="539"/>
      <c r="I11" s="539"/>
      <c r="J11" s="539"/>
      <c r="K11" s="539"/>
      <c r="L11" s="540"/>
    </row>
    <row r="12" spans="1:12" ht="21.75" customHeight="1">
      <c r="B12" s="74" t="s">
        <v>171</v>
      </c>
      <c r="C12" s="28"/>
      <c r="D12" s="144"/>
      <c r="E12" s="144"/>
      <c r="F12" s="144"/>
      <c r="G12" s="144"/>
      <c r="H12" s="539"/>
      <c r="I12" s="539"/>
      <c r="J12" s="539"/>
      <c r="K12" s="539"/>
      <c r="L12" s="540"/>
    </row>
    <row r="13" spans="1:12" ht="21.75" customHeight="1">
      <c r="B13" s="74" t="s">
        <v>168</v>
      </c>
      <c r="C13" s="28"/>
      <c r="D13" s="144"/>
      <c r="E13" s="144"/>
      <c r="F13" s="144"/>
      <c r="G13" s="144"/>
      <c r="H13" s="539"/>
      <c r="I13" s="539"/>
      <c r="J13" s="539"/>
      <c r="K13" s="539"/>
      <c r="L13" s="540"/>
    </row>
    <row r="14" spans="1:12" ht="21.75" customHeight="1">
      <c r="B14" s="74" t="s">
        <v>94</v>
      </c>
      <c r="C14" s="28"/>
      <c r="D14" s="144"/>
      <c r="E14" s="144"/>
      <c r="F14" s="144"/>
      <c r="G14" s="144"/>
      <c r="H14" s="539"/>
      <c r="I14" s="539"/>
      <c r="J14" s="539"/>
      <c r="K14" s="539"/>
      <c r="L14" s="540"/>
    </row>
    <row r="15" spans="1:12" ht="21.75" customHeight="1">
      <c r="B15" s="74" t="s">
        <v>169</v>
      </c>
      <c r="C15" s="28" t="s">
        <v>416</v>
      </c>
      <c r="D15" s="28" t="s">
        <v>417</v>
      </c>
      <c r="E15" s="28" t="s">
        <v>418</v>
      </c>
      <c r="F15" s="28" t="s">
        <v>419</v>
      </c>
      <c r="G15" s="28"/>
      <c r="H15" s="539"/>
      <c r="I15" s="539"/>
      <c r="J15" s="539"/>
      <c r="K15" s="539"/>
      <c r="L15" s="540"/>
    </row>
    <row r="16" spans="1:12" ht="12" customHeight="1">
      <c r="B16" s="153"/>
      <c r="C16" s="150"/>
      <c r="D16" s="150"/>
      <c r="E16" s="150"/>
      <c r="F16" s="150"/>
      <c r="G16" s="150"/>
      <c r="H16" s="151"/>
      <c r="I16" s="151"/>
      <c r="J16" s="151"/>
      <c r="K16" s="151"/>
      <c r="L16" s="152"/>
    </row>
    <row r="17" spans="2:12" ht="21" customHeight="1">
      <c r="B17" s="481"/>
      <c r="C17" s="482"/>
      <c r="D17" s="482"/>
      <c r="E17" s="566" t="s">
        <v>49</v>
      </c>
      <c r="F17" s="566"/>
      <c r="G17" s="566"/>
      <c r="H17" s="566"/>
      <c r="I17" s="566"/>
      <c r="J17" s="566"/>
      <c r="K17" s="566"/>
      <c r="L17" s="567"/>
    </row>
    <row r="18" spans="2:12" ht="21" customHeight="1">
      <c r="B18" s="483"/>
      <c r="C18" s="484"/>
      <c r="D18" s="484"/>
      <c r="E18" s="568"/>
      <c r="F18" s="568"/>
      <c r="G18" s="568"/>
      <c r="H18" s="568"/>
      <c r="I18" s="568"/>
      <c r="J18" s="568"/>
      <c r="K18" s="568"/>
      <c r="L18" s="569"/>
    </row>
    <row r="19" spans="2:12" ht="21" customHeight="1">
      <c r="B19" s="483"/>
      <c r="C19" s="484"/>
      <c r="D19" s="484"/>
      <c r="E19" s="568"/>
      <c r="F19" s="568"/>
      <c r="G19" s="568"/>
      <c r="H19" s="568"/>
      <c r="I19" s="568"/>
      <c r="J19" s="568"/>
      <c r="K19" s="568"/>
      <c r="L19" s="569"/>
    </row>
    <row r="20" spans="2:12" ht="21" customHeight="1">
      <c r="B20" s="483"/>
      <c r="C20" s="484"/>
      <c r="D20" s="484"/>
      <c r="E20" s="568"/>
      <c r="F20" s="568"/>
      <c r="G20" s="568"/>
      <c r="H20" s="568"/>
      <c r="I20" s="568"/>
      <c r="J20" s="568"/>
      <c r="K20" s="568"/>
      <c r="L20" s="569"/>
    </row>
    <row r="21" spans="2:12" ht="60.6" customHeight="1" thickBot="1">
      <c r="B21" s="485"/>
      <c r="C21" s="486"/>
      <c r="D21" s="486"/>
      <c r="E21" s="491" t="s">
        <v>51</v>
      </c>
      <c r="F21" s="492"/>
      <c r="G21" s="492"/>
      <c r="H21" s="492"/>
      <c r="I21" s="492"/>
      <c r="J21" s="492"/>
      <c r="K21" s="492"/>
      <c r="L21" s="493"/>
    </row>
  </sheetData>
  <mergeCells count="16">
    <mergeCell ref="E21:L21"/>
    <mergeCell ref="B17:D21"/>
    <mergeCell ref="H9:L9"/>
    <mergeCell ref="H10:L10"/>
    <mergeCell ref="H11:L11"/>
    <mergeCell ref="H13:L13"/>
    <mergeCell ref="H14:L14"/>
    <mergeCell ref="H15:L15"/>
    <mergeCell ref="H12:L12"/>
    <mergeCell ref="E17:L20"/>
    <mergeCell ref="B2:L2"/>
    <mergeCell ref="B1:L1"/>
    <mergeCell ref="H8:L8"/>
    <mergeCell ref="D3:J3"/>
    <mergeCell ref="D4:J7"/>
    <mergeCell ref="K5:L7"/>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DF7F3-B894-42B3-B878-D2249F57ABB2}">
  <sheetPr codeName="Sheet2">
    <pageSetUpPr fitToPage="1"/>
  </sheetPr>
  <dimension ref="A1:K70"/>
  <sheetViews>
    <sheetView topLeftCell="I1" zoomScale="110" zoomScaleNormal="110" workbookViewId="0">
      <selection activeCell="Q4" sqref="Q4"/>
    </sheetView>
  </sheetViews>
  <sheetFormatPr defaultColWidth="9.140625" defaultRowHeight="15"/>
  <cols>
    <col min="1" max="1" width="5.42578125" customWidth="1"/>
    <col min="2" max="2" width="21.7109375" style="77" customWidth="1"/>
    <col min="3" max="3" width="33" style="77" customWidth="1"/>
    <col min="4" max="4" width="14.140625" style="77" customWidth="1"/>
    <col min="5" max="5" width="17.140625" style="77" customWidth="1"/>
    <col min="6" max="6" width="19.85546875" style="77" customWidth="1"/>
    <col min="7" max="7" width="29.5703125" style="77" customWidth="1"/>
    <col min="8" max="10" width="16.140625" style="77" customWidth="1"/>
    <col min="11" max="11" width="12.42578125" style="77" customWidth="1"/>
    <col min="12" max="16384" width="9.140625" style="76"/>
  </cols>
  <sheetData>
    <row r="1" spans="1:11" ht="81.599999999999994" customHeight="1">
      <c r="B1" s="577"/>
      <c r="C1" s="578"/>
      <c r="D1" s="578"/>
      <c r="E1" s="578"/>
      <c r="F1" s="578"/>
      <c r="G1" s="578"/>
      <c r="H1" s="578"/>
      <c r="I1" s="578"/>
      <c r="J1" s="578"/>
      <c r="K1" s="579"/>
    </row>
    <row r="2" spans="1:11" ht="23.25">
      <c r="B2" s="580" t="s">
        <v>334</v>
      </c>
      <c r="C2" s="581"/>
      <c r="D2" s="581"/>
      <c r="E2" s="581"/>
      <c r="F2" s="581"/>
      <c r="G2" s="581"/>
      <c r="H2" s="581"/>
      <c r="I2" s="581"/>
      <c r="J2" s="582"/>
      <c r="K2" s="583"/>
    </row>
    <row r="3" spans="1:11" s="9" customFormat="1" ht="30.75" customHeight="1">
      <c r="A3"/>
      <c r="B3" s="39" t="s">
        <v>23</v>
      </c>
      <c r="C3" s="58"/>
      <c r="D3" s="415"/>
      <c r="E3" s="416"/>
      <c r="F3" s="416"/>
      <c r="G3" s="416"/>
      <c r="H3" s="590"/>
      <c r="I3" s="141" t="s">
        <v>170</v>
      </c>
      <c r="J3" s="141" t="s">
        <v>170</v>
      </c>
      <c r="K3" s="140">
        <v>43790</v>
      </c>
    </row>
    <row r="4" spans="1:11" s="9" customFormat="1" ht="15.75" customHeight="1">
      <c r="A4"/>
      <c r="B4" s="41" t="s">
        <v>3</v>
      </c>
      <c r="C4" s="21"/>
      <c r="D4" s="417"/>
      <c r="E4" s="591"/>
      <c r="F4" s="591"/>
      <c r="G4" s="591"/>
      <c r="H4" s="592"/>
      <c r="I4" s="183" t="s">
        <v>5</v>
      </c>
      <c r="J4" s="183" t="s">
        <v>5</v>
      </c>
      <c r="K4" s="328"/>
    </row>
    <row r="5" spans="1:11" s="9" customFormat="1" ht="18" customHeight="1">
      <c r="A5"/>
      <c r="B5" s="42" t="s">
        <v>72</v>
      </c>
      <c r="C5" s="59"/>
      <c r="D5" s="417"/>
      <c r="E5" s="591"/>
      <c r="F5" s="591"/>
      <c r="G5" s="591"/>
      <c r="H5" s="592"/>
      <c r="I5" s="461"/>
      <c r="J5" s="462"/>
      <c r="K5" s="594"/>
    </row>
    <row r="6" spans="1:11" s="9" customFormat="1" ht="15.75" customHeight="1">
      <c r="A6"/>
      <c r="B6" s="43" t="s">
        <v>312</v>
      </c>
      <c r="C6" s="163"/>
      <c r="D6" s="417"/>
      <c r="E6" s="591"/>
      <c r="F6" s="591"/>
      <c r="G6" s="591"/>
      <c r="H6" s="592"/>
      <c r="I6" s="463"/>
      <c r="J6" s="595"/>
      <c r="K6" s="403"/>
    </row>
    <row r="7" spans="1:11" s="9" customFormat="1" ht="15.75" customHeight="1">
      <c r="A7"/>
      <c r="B7" s="43"/>
      <c r="C7" s="21"/>
      <c r="D7" s="419"/>
      <c r="E7" s="420"/>
      <c r="F7" s="420"/>
      <c r="G7" s="420"/>
      <c r="H7" s="593"/>
      <c r="I7" s="464"/>
      <c r="J7" s="404"/>
      <c r="K7" s="405"/>
    </row>
    <row r="8" spans="1:11" s="79" customFormat="1">
      <c r="A8"/>
      <c r="B8" s="121" t="s">
        <v>18</v>
      </c>
      <c r="C8" s="78" t="s">
        <v>173</v>
      </c>
      <c r="D8" s="78" t="s">
        <v>174</v>
      </c>
      <c r="E8" s="78" t="s">
        <v>175</v>
      </c>
      <c r="F8" s="78" t="s">
        <v>176</v>
      </c>
      <c r="G8" s="78" t="s">
        <v>177</v>
      </c>
      <c r="H8" s="78" t="s">
        <v>178</v>
      </c>
      <c r="I8" s="78" t="s">
        <v>630</v>
      </c>
      <c r="J8" s="78" t="s">
        <v>631</v>
      </c>
      <c r="K8" s="122" t="s">
        <v>180</v>
      </c>
    </row>
    <row r="9" spans="1:11" s="81" customFormat="1">
      <c r="A9"/>
      <c r="B9" s="123" t="s">
        <v>181</v>
      </c>
      <c r="C9" s="80"/>
      <c r="D9" s="80"/>
      <c r="E9" s="80"/>
      <c r="F9" s="80"/>
      <c r="G9" s="80"/>
      <c r="H9" s="80"/>
      <c r="I9" s="80"/>
      <c r="J9" s="80"/>
      <c r="K9" s="124"/>
    </row>
    <row r="10" spans="1:11" s="84" customFormat="1" ht="30" customHeight="1">
      <c r="A10"/>
      <c r="B10" s="125" t="s">
        <v>182</v>
      </c>
      <c r="C10" s="83" t="s">
        <v>183</v>
      </c>
      <c r="D10" s="83" t="s">
        <v>184</v>
      </c>
      <c r="E10" s="83" t="s">
        <v>185</v>
      </c>
      <c r="F10" s="83"/>
      <c r="G10" s="83"/>
      <c r="H10" s="111"/>
      <c r="I10" s="111"/>
      <c r="J10" s="111"/>
      <c r="K10" s="126"/>
    </row>
    <row r="11" spans="1:11" s="81" customFormat="1" ht="36" customHeight="1">
      <c r="A11"/>
      <c r="B11" s="127" t="s">
        <v>186</v>
      </c>
      <c r="C11" s="80"/>
      <c r="D11" s="80"/>
      <c r="E11" s="80"/>
      <c r="F11" s="80"/>
      <c r="G11" s="80"/>
      <c r="H11" s="80"/>
      <c r="I11" s="80"/>
      <c r="J11" s="80"/>
      <c r="K11" s="124"/>
    </row>
    <row r="12" spans="1:11" s="84" customFormat="1" ht="22.5">
      <c r="A12"/>
      <c r="B12" s="125" t="s">
        <v>187</v>
      </c>
      <c r="C12" s="83" t="s">
        <v>188</v>
      </c>
      <c r="D12" s="83"/>
      <c r="E12" s="83" t="s">
        <v>189</v>
      </c>
      <c r="F12" s="83"/>
      <c r="G12" s="83"/>
      <c r="H12" s="85"/>
      <c r="I12" s="85"/>
      <c r="J12" s="85"/>
      <c r="K12" s="126"/>
    </row>
    <row r="13" spans="1:11" s="81" customFormat="1" ht="36" customHeight="1">
      <c r="A13"/>
      <c r="B13" s="127" t="s">
        <v>190</v>
      </c>
      <c r="C13" s="80"/>
      <c r="D13" s="80"/>
      <c r="E13" s="80"/>
      <c r="F13" s="80"/>
      <c r="G13" s="80"/>
      <c r="H13" s="80"/>
      <c r="I13" s="80"/>
      <c r="J13" s="80"/>
      <c r="K13" s="124"/>
    </row>
    <row r="14" spans="1:11" s="84" customFormat="1" ht="22.5">
      <c r="A14"/>
      <c r="B14" s="125" t="s">
        <v>191</v>
      </c>
      <c r="C14" s="86" t="s">
        <v>192</v>
      </c>
      <c r="D14" s="86" t="s">
        <v>193</v>
      </c>
      <c r="E14" s="86" t="s">
        <v>194</v>
      </c>
      <c r="F14" s="83"/>
      <c r="G14" s="83"/>
      <c r="H14" s="85"/>
      <c r="I14" s="85"/>
      <c r="J14" s="85"/>
      <c r="K14" s="126"/>
    </row>
    <row r="15" spans="1:11" s="84" customFormat="1" ht="22.5">
      <c r="A15"/>
      <c r="B15" s="125" t="s">
        <v>195</v>
      </c>
      <c r="C15" s="86" t="s">
        <v>196</v>
      </c>
      <c r="D15" s="86" t="s">
        <v>193</v>
      </c>
      <c r="E15" s="86" t="s">
        <v>194</v>
      </c>
      <c r="F15" s="83"/>
      <c r="G15" s="83"/>
      <c r="H15" s="85"/>
      <c r="I15" s="85"/>
      <c r="J15" s="85"/>
      <c r="K15" s="126"/>
    </row>
    <row r="16" spans="1:11" s="84" customFormat="1" ht="24" customHeight="1">
      <c r="A16"/>
      <c r="B16" s="125" t="s">
        <v>197</v>
      </c>
      <c r="C16" s="83" t="s">
        <v>198</v>
      </c>
      <c r="D16" s="83"/>
      <c r="E16" s="83"/>
      <c r="F16" s="83"/>
      <c r="G16" s="83"/>
      <c r="H16" s="87"/>
      <c r="I16" s="87"/>
      <c r="J16" s="87"/>
      <c r="K16" s="126"/>
    </row>
    <row r="17" spans="1:11" s="106" customFormat="1" ht="17.649999999999999" customHeight="1">
      <c r="B17" s="127" t="s">
        <v>396</v>
      </c>
      <c r="C17" s="80"/>
      <c r="D17" s="80"/>
      <c r="E17" s="80"/>
      <c r="F17" s="80"/>
      <c r="G17" s="80"/>
      <c r="H17" s="80"/>
      <c r="I17" s="189"/>
      <c r="J17" s="189"/>
      <c r="K17" s="124"/>
    </row>
    <row r="18" spans="1:11" s="89" customFormat="1" ht="45">
      <c r="A18"/>
      <c r="B18" s="129" t="s">
        <v>219</v>
      </c>
      <c r="C18" s="320" t="s">
        <v>220</v>
      </c>
      <c r="D18" s="320"/>
      <c r="E18" s="320" t="s">
        <v>221</v>
      </c>
      <c r="F18" s="112" t="s">
        <v>213</v>
      </c>
      <c r="G18" s="101" t="s">
        <v>222</v>
      </c>
      <c r="H18" s="321"/>
      <c r="I18" s="321"/>
      <c r="J18" s="321"/>
      <c r="K18" s="137"/>
    </row>
    <row r="19" spans="1:11" s="81" customFormat="1" ht="33.75" customHeight="1">
      <c r="A19"/>
      <c r="B19" s="128" t="s">
        <v>199</v>
      </c>
      <c r="C19" s="80"/>
      <c r="D19" s="80"/>
      <c r="E19" s="80"/>
      <c r="F19" s="80"/>
      <c r="G19" s="80"/>
      <c r="H19" s="88"/>
      <c r="I19" s="88"/>
      <c r="J19" s="88"/>
      <c r="K19" s="124"/>
    </row>
    <row r="20" spans="1:11" s="89" customFormat="1">
      <c r="A20"/>
      <c r="B20" s="129" t="s">
        <v>200</v>
      </c>
      <c r="C20" s="86"/>
      <c r="D20" s="86"/>
      <c r="E20" s="86"/>
      <c r="F20" s="86"/>
      <c r="G20" s="86"/>
      <c r="H20" s="321"/>
      <c r="I20" s="321"/>
      <c r="J20" s="321"/>
      <c r="K20" s="126"/>
    </row>
    <row r="21" spans="1:11" s="89" customFormat="1">
      <c r="A21"/>
      <c r="B21" s="129" t="s">
        <v>201</v>
      </c>
      <c r="C21" s="86"/>
      <c r="D21" s="86"/>
      <c r="E21" s="86"/>
      <c r="F21" s="86"/>
      <c r="G21" s="86"/>
      <c r="H21" s="321"/>
      <c r="I21" s="321"/>
      <c r="J21" s="321"/>
      <c r="K21" s="126"/>
    </row>
    <row r="22" spans="1:11" s="89" customFormat="1">
      <c r="A22"/>
      <c r="B22" s="129" t="s">
        <v>202</v>
      </c>
      <c r="C22" s="86"/>
      <c r="D22" s="86"/>
      <c r="E22" s="86"/>
      <c r="F22" s="86"/>
      <c r="G22" s="86"/>
      <c r="H22" s="321"/>
      <c r="I22" s="321"/>
      <c r="J22" s="321"/>
      <c r="K22" s="126"/>
    </row>
    <row r="23" spans="1:11" s="89" customFormat="1">
      <c r="A23"/>
      <c r="B23" s="129" t="s">
        <v>203</v>
      </c>
      <c r="C23" s="86"/>
      <c r="D23" s="86"/>
      <c r="E23" s="86"/>
      <c r="F23" s="86"/>
      <c r="G23" s="86"/>
      <c r="H23" s="321"/>
      <c r="I23" s="321"/>
      <c r="J23" s="321"/>
      <c r="K23" s="126"/>
    </row>
    <row r="24" spans="1:11" s="89" customFormat="1" ht="22.5">
      <c r="A24"/>
      <c r="B24" s="129" t="s">
        <v>204</v>
      </c>
      <c r="C24" s="320" t="s">
        <v>205</v>
      </c>
      <c r="D24" s="320" t="s">
        <v>206</v>
      </c>
      <c r="E24" s="323" t="s">
        <v>207</v>
      </c>
      <c r="F24" s="323"/>
      <c r="G24" s="323"/>
      <c r="H24" s="321"/>
      <c r="I24" s="321"/>
      <c r="J24" s="321"/>
      <c r="K24" s="126"/>
    </row>
    <row r="25" spans="1:11" s="89" customFormat="1" ht="22.5">
      <c r="A25"/>
      <c r="B25" s="129" t="s">
        <v>204</v>
      </c>
      <c r="C25" s="320" t="s">
        <v>208</v>
      </c>
      <c r="D25" s="320" t="s">
        <v>206</v>
      </c>
      <c r="E25" s="323" t="s">
        <v>207</v>
      </c>
      <c r="F25" s="323"/>
      <c r="G25" s="323"/>
      <c r="H25" s="321"/>
      <c r="I25" s="321"/>
      <c r="J25" s="321"/>
      <c r="K25" s="126"/>
    </row>
    <row r="26" spans="1:11" s="81" customFormat="1" ht="32.25" customHeight="1">
      <c r="A26"/>
      <c r="B26" s="127" t="s">
        <v>223</v>
      </c>
      <c r="C26" s="92"/>
      <c r="D26" s="92"/>
      <c r="E26" s="92"/>
      <c r="F26" s="92"/>
      <c r="G26" s="92"/>
      <c r="H26" s="93"/>
      <c r="I26" s="93"/>
      <c r="J26" s="93"/>
      <c r="K26" s="130"/>
    </row>
    <row r="27" spans="1:11" s="89" customFormat="1" ht="22.5">
      <c r="A27"/>
      <c r="B27" s="129" t="s">
        <v>224</v>
      </c>
      <c r="C27" s="94" t="s">
        <v>225</v>
      </c>
      <c r="D27" s="94"/>
      <c r="E27" s="94"/>
      <c r="F27" s="95" t="s">
        <v>226</v>
      </c>
      <c r="G27" s="96" t="s">
        <v>227</v>
      </c>
      <c r="H27" s="97">
        <v>43350</v>
      </c>
      <c r="I27" s="97"/>
      <c r="J27" s="97"/>
      <c r="K27" s="131"/>
    </row>
    <row r="28" spans="1:11" s="89" customFormat="1" ht="22.5">
      <c r="A28"/>
      <c r="B28" s="129" t="s">
        <v>228</v>
      </c>
      <c r="C28" s="94" t="s">
        <v>225</v>
      </c>
      <c r="D28" s="94"/>
      <c r="E28" s="94"/>
      <c r="F28" s="95" t="s">
        <v>226</v>
      </c>
      <c r="G28" s="98" t="s">
        <v>229</v>
      </c>
      <c r="H28" s="97">
        <v>43350</v>
      </c>
      <c r="I28" s="97"/>
      <c r="J28" s="97"/>
      <c r="K28" s="131"/>
    </row>
    <row r="29" spans="1:11" s="89" customFormat="1" ht="22.5">
      <c r="A29"/>
      <c r="B29" s="129" t="s">
        <v>230</v>
      </c>
      <c r="C29" s="94" t="s">
        <v>225</v>
      </c>
      <c r="D29" s="94"/>
      <c r="E29" s="94"/>
      <c r="F29" s="95" t="s">
        <v>226</v>
      </c>
      <c r="G29" s="98" t="s">
        <v>364</v>
      </c>
      <c r="H29" s="97">
        <v>43350</v>
      </c>
      <c r="I29" s="97"/>
      <c r="J29" s="97"/>
      <c r="K29" s="131"/>
    </row>
    <row r="30" spans="1:11" s="89" customFormat="1" ht="22.5">
      <c r="A30"/>
      <c r="B30" s="129" t="s">
        <v>231</v>
      </c>
      <c r="C30" s="94" t="s">
        <v>225</v>
      </c>
      <c r="D30" s="94"/>
      <c r="E30" s="94"/>
      <c r="F30" s="95" t="s">
        <v>226</v>
      </c>
      <c r="G30" s="98" t="s">
        <v>365</v>
      </c>
      <c r="H30" s="97">
        <v>43350</v>
      </c>
      <c r="I30" s="97"/>
      <c r="J30" s="97"/>
      <c r="K30" s="131"/>
    </row>
    <row r="31" spans="1:11" s="89" customFormat="1" ht="22.5">
      <c r="A31"/>
      <c r="B31" s="129" t="s">
        <v>232</v>
      </c>
      <c r="C31" s="94" t="s">
        <v>225</v>
      </c>
      <c r="D31" s="94"/>
      <c r="E31" s="94"/>
      <c r="F31" s="95" t="s">
        <v>226</v>
      </c>
      <c r="G31" s="98" t="s">
        <v>233</v>
      </c>
      <c r="H31" s="97">
        <v>43347</v>
      </c>
      <c r="I31" s="97"/>
      <c r="J31" s="97"/>
      <c r="K31" s="131"/>
    </row>
    <row r="32" spans="1:11" s="89" customFormat="1" ht="22.5">
      <c r="A32"/>
      <c r="B32" s="129" t="s">
        <v>234</v>
      </c>
      <c r="C32" s="94" t="s">
        <v>225</v>
      </c>
      <c r="D32" s="94"/>
      <c r="E32" s="94"/>
      <c r="F32" s="95" t="s">
        <v>226</v>
      </c>
      <c r="G32" s="98" t="s">
        <v>235</v>
      </c>
      <c r="H32" s="97">
        <v>43347</v>
      </c>
      <c r="I32" s="97"/>
      <c r="J32" s="97"/>
      <c r="K32" s="131"/>
    </row>
    <row r="33" spans="1:11" s="89" customFormat="1" ht="22.5">
      <c r="A33"/>
      <c r="B33" s="129" t="s">
        <v>236</v>
      </c>
      <c r="C33" s="94" t="s">
        <v>225</v>
      </c>
      <c r="D33" s="94"/>
      <c r="E33" s="94"/>
      <c r="F33" s="95" t="s">
        <v>226</v>
      </c>
      <c r="G33" s="98" t="s">
        <v>237</v>
      </c>
      <c r="H33" s="97">
        <v>43346</v>
      </c>
      <c r="I33" s="97"/>
      <c r="J33" s="97"/>
      <c r="K33" s="131"/>
    </row>
    <row r="34" spans="1:11" s="103" customFormat="1" ht="22.5">
      <c r="B34" s="129" t="s">
        <v>353</v>
      </c>
      <c r="C34" s="94" t="s">
        <v>225</v>
      </c>
      <c r="D34" s="94"/>
      <c r="E34" s="94"/>
      <c r="F34" s="95" t="s">
        <v>226</v>
      </c>
      <c r="G34" s="98" t="s">
        <v>355</v>
      </c>
      <c r="H34" s="97">
        <v>43337</v>
      </c>
      <c r="I34" s="196"/>
      <c r="J34" s="196"/>
      <c r="K34" s="131"/>
    </row>
    <row r="35" spans="1:11" s="103" customFormat="1" ht="22.5">
      <c r="B35" s="129" t="s">
        <v>354</v>
      </c>
      <c r="C35" s="94" t="s">
        <v>225</v>
      </c>
      <c r="D35" s="94"/>
      <c r="E35" s="94"/>
      <c r="F35" s="95" t="s">
        <v>226</v>
      </c>
      <c r="G35" s="98" t="s">
        <v>356</v>
      </c>
      <c r="H35" s="97">
        <v>43306</v>
      </c>
      <c r="I35" s="196"/>
      <c r="J35" s="196"/>
      <c r="K35" s="131"/>
    </row>
    <row r="36" spans="1:11" s="81" customFormat="1" ht="51" customHeight="1">
      <c r="A36"/>
      <c r="B36" s="128" t="s">
        <v>238</v>
      </c>
      <c r="C36" s="92"/>
      <c r="D36" s="92"/>
      <c r="E36" s="92"/>
      <c r="F36" s="92"/>
      <c r="G36" s="92"/>
      <c r="H36" s="93"/>
      <c r="I36" s="93"/>
      <c r="J36" s="93"/>
      <c r="K36" s="130"/>
    </row>
    <row r="37" spans="1:11" s="89" customFormat="1" ht="22.5">
      <c r="A37"/>
      <c r="B37" s="584" t="s">
        <v>209</v>
      </c>
      <c r="C37" s="585" t="s">
        <v>210</v>
      </c>
      <c r="D37" s="320" t="s">
        <v>211</v>
      </c>
      <c r="E37" s="323" t="s">
        <v>212</v>
      </c>
      <c r="F37" s="112" t="s">
        <v>213</v>
      </c>
      <c r="G37" s="113" t="s">
        <v>509</v>
      </c>
      <c r="H37" s="586">
        <v>43260</v>
      </c>
      <c r="I37" s="321"/>
      <c r="J37" s="321"/>
      <c r="K37" s="137"/>
    </row>
    <row r="38" spans="1:11" s="89" customFormat="1" ht="22.5">
      <c r="A38"/>
      <c r="B38" s="584"/>
      <c r="C38" s="585"/>
      <c r="D38" s="320" t="s">
        <v>211</v>
      </c>
      <c r="E38" s="323" t="s">
        <v>214</v>
      </c>
      <c r="F38" s="112" t="s">
        <v>213</v>
      </c>
      <c r="G38" s="113" t="s">
        <v>509</v>
      </c>
      <c r="H38" s="586"/>
      <c r="I38" s="321"/>
      <c r="J38" s="321"/>
      <c r="K38" s="137"/>
    </row>
    <row r="39" spans="1:11" s="89" customFormat="1" ht="22.5">
      <c r="A39"/>
      <c r="B39" s="129" t="s">
        <v>215</v>
      </c>
      <c r="C39" s="320" t="s">
        <v>216</v>
      </c>
      <c r="D39" s="320" t="s">
        <v>217</v>
      </c>
      <c r="E39" s="320" t="s">
        <v>218</v>
      </c>
      <c r="F39" s="112" t="s">
        <v>213</v>
      </c>
      <c r="G39" s="113" t="s">
        <v>510</v>
      </c>
      <c r="H39" s="321">
        <v>43281</v>
      </c>
      <c r="I39" s="321"/>
      <c r="J39" s="321"/>
      <c r="K39" s="137"/>
    </row>
    <row r="40" spans="1:11" s="89" customFormat="1" ht="33.75">
      <c r="A40"/>
      <c r="B40" s="319" t="s">
        <v>258</v>
      </c>
      <c r="C40" s="86" t="s">
        <v>259</v>
      </c>
      <c r="D40" s="86"/>
      <c r="E40" s="86"/>
      <c r="F40" s="112" t="s">
        <v>213</v>
      </c>
      <c r="G40" s="113" t="s">
        <v>511</v>
      </c>
      <c r="H40" s="85"/>
      <c r="I40" s="85"/>
      <c r="J40" s="85"/>
      <c r="K40" s="131"/>
    </row>
    <row r="41" spans="1:11" s="89" customFormat="1" ht="33.75">
      <c r="A41"/>
      <c r="B41" s="319" t="s">
        <v>406</v>
      </c>
      <c r="C41" s="86" t="s">
        <v>260</v>
      </c>
      <c r="D41" s="86"/>
      <c r="E41" s="86"/>
      <c r="F41" s="112" t="s">
        <v>213</v>
      </c>
      <c r="G41" s="113" t="s">
        <v>512</v>
      </c>
      <c r="H41" s="85"/>
      <c r="I41" s="85"/>
      <c r="J41" s="85"/>
      <c r="K41" s="131"/>
    </row>
    <row r="42" spans="1:11" s="89" customFormat="1" ht="33.75">
      <c r="A42"/>
      <c r="B42" s="319" t="s">
        <v>261</v>
      </c>
      <c r="C42" s="86" t="s">
        <v>262</v>
      </c>
      <c r="D42" s="86"/>
      <c r="E42" s="86"/>
      <c r="F42" s="112" t="s">
        <v>213</v>
      </c>
      <c r="G42" s="113" t="s">
        <v>513</v>
      </c>
      <c r="H42" s="102"/>
      <c r="I42" s="102"/>
      <c r="J42" s="102"/>
      <c r="K42" s="133"/>
    </row>
    <row r="43" spans="1:11" s="103" customFormat="1" ht="34.5" customHeight="1">
      <c r="A43" s="120"/>
      <c r="B43" s="319" t="s">
        <v>263</v>
      </c>
      <c r="C43" s="86" t="s">
        <v>264</v>
      </c>
      <c r="D43" s="86"/>
      <c r="E43" s="86"/>
      <c r="F43" s="112" t="s">
        <v>213</v>
      </c>
      <c r="G43" s="108" t="s">
        <v>514</v>
      </c>
      <c r="H43" s="28"/>
      <c r="I43" s="28"/>
      <c r="J43" s="28"/>
      <c r="K43" s="133"/>
    </row>
    <row r="44" spans="1:11" s="89" customFormat="1" ht="33.75">
      <c r="A44"/>
      <c r="B44" s="319" t="s">
        <v>481</v>
      </c>
      <c r="C44" s="86" t="s">
        <v>259</v>
      </c>
      <c r="D44" s="86"/>
      <c r="E44" s="86"/>
      <c r="F44" s="112" t="s">
        <v>213</v>
      </c>
      <c r="G44" s="113" t="s">
        <v>515</v>
      </c>
      <c r="H44" s="85"/>
      <c r="I44" s="85"/>
      <c r="J44" s="85"/>
      <c r="K44" s="131"/>
    </row>
    <row r="45" spans="1:11" s="89" customFormat="1" ht="23.25">
      <c r="A45"/>
      <c r="B45" s="129" t="s">
        <v>239</v>
      </c>
      <c r="C45" s="86" t="s">
        <v>240</v>
      </c>
      <c r="D45" s="86"/>
      <c r="E45" s="116" t="s">
        <v>241</v>
      </c>
      <c r="F45" s="86"/>
      <c r="G45" s="86"/>
      <c r="H45" s="114"/>
      <c r="I45" s="114"/>
      <c r="J45" s="114"/>
      <c r="K45" s="131"/>
    </row>
    <row r="46" spans="1:11" s="89" customFormat="1" ht="31.5" customHeight="1">
      <c r="A46"/>
      <c r="B46" s="129" t="s">
        <v>242</v>
      </c>
      <c r="C46" s="86" t="s">
        <v>243</v>
      </c>
      <c r="D46" s="86"/>
      <c r="E46" s="142" t="s">
        <v>244</v>
      </c>
      <c r="F46" s="112" t="s">
        <v>213</v>
      </c>
      <c r="G46" s="100" t="s">
        <v>516</v>
      </c>
      <c r="H46" s="114"/>
      <c r="I46" s="114"/>
      <c r="J46" s="114"/>
      <c r="K46" s="137"/>
    </row>
    <row r="47" spans="1:11" s="89" customFormat="1" ht="23.25">
      <c r="A47"/>
      <c r="B47" s="129" t="s">
        <v>245</v>
      </c>
      <c r="C47" s="86" t="s">
        <v>246</v>
      </c>
      <c r="D47" s="86"/>
      <c r="E47" s="116" t="s">
        <v>247</v>
      </c>
      <c r="F47" s="112" t="s">
        <v>213</v>
      </c>
      <c r="G47" s="86" t="s">
        <v>517</v>
      </c>
      <c r="H47" s="115">
        <v>43254</v>
      </c>
      <c r="I47" s="115"/>
      <c r="J47" s="115"/>
      <c r="K47" s="126"/>
    </row>
    <row r="48" spans="1:11" s="89" customFormat="1" ht="23.25">
      <c r="A48"/>
      <c r="B48" s="129" t="s">
        <v>248</v>
      </c>
      <c r="C48" s="86" t="s">
        <v>246</v>
      </c>
      <c r="D48" s="86"/>
      <c r="E48" s="116" t="s">
        <v>249</v>
      </c>
      <c r="F48" s="112" t="s">
        <v>213</v>
      </c>
      <c r="G48" s="86" t="s">
        <v>517</v>
      </c>
      <c r="H48" s="115">
        <v>43254</v>
      </c>
      <c r="I48" s="115"/>
      <c r="J48" s="115"/>
      <c r="K48" s="126"/>
    </row>
    <row r="49" spans="1:11" s="89" customFormat="1" ht="45">
      <c r="A49"/>
      <c r="B49" s="319" t="s">
        <v>250</v>
      </c>
      <c r="C49" s="86" t="s">
        <v>251</v>
      </c>
      <c r="D49" s="86"/>
      <c r="E49" s="101" t="s">
        <v>252</v>
      </c>
      <c r="F49" s="112" t="s">
        <v>213</v>
      </c>
      <c r="G49" s="86" t="s">
        <v>518</v>
      </c>
      <c r="H49" s="114"/>
      <c r="I49" s="114"/>
      <c r="J49" s="114"/>
      <c r="K49" s="132"/>
    </row>
    <row r="50" spans="1:11" s="89" customFormat="1" ht="38.25" customHeight="1">
      <c r="A50"/>
      <c r="B50" s="587" t="s">
        <v>253</v>
      </c>
      <c r="C50" s="588" t="s">
        <v>254</v>
      </c>
      <c r="D50" s="323"/>
      <c r="E50" s="86" t="s">
        <v>255</v>
      </c>
      <c r="F50" s="112" t="s">
        <v>213</v>
      </c>
      <c r="G50" s="86" t="s">
        <v>519</v>
      </c>
      <c r="H50" s="115">
        <v>43231</v>
      </c>
      <c r="I50" s="115"/>
      <c r="J50" s="115"/>
      <c r="K50" s="589"/>
    </row>
    <row r="51" spans="1:11" s="89" customFormat="1" ht="38.25" customHeight="1">
      <c r="A51"/>
      <c r="B51" s="587"/>
      <c r="C51" s="588"/>
      <c r="D51" s="323"/>
      <c r="E51" s="86" t="s">
        <v>256</v>
      </c>
      <c r="F51" s="112" t="s">
        <v>213</v>
      </c>
      <c r="G51" s="86" t="s">
        <v>519</v>
      </c>
      <c r="H51" s="115">
        <v>43231</v>
      </c>
      <c r="I51" s="115"/>
      <c r="J51" s="115"/>
      <c r="K51" s="589"/>
    </row>
    <row r="52" spans="1:11" s="89" customFormat="1" ht="38.25" customHeight="1">
      <c r="A52"/>
      <c r="B52" s="587"/>
      <c r="C52" s="588"/>
      <c r="D52" s="323"/>
      <c r="E52" s="86" t="s">
        <v>257</v>
      </c>
      <c r="F52" s="112" t="s">
        <v>213</v>
      </c>
      <c r="G52" s="86" t="s">
        <v>519</v>
      </c>
      <c r="H52" s="115">
        <v>43231</v>
      </c>
      <c r="I52" s="115"/>
      <c r="J52" s="115"/>
      <c r="K52" s="589"/>
    </row>
    <row r="53" spans="1:11" s="89" customFormat="1" ht="35.25" customHeight="1">
      <c r="A53"/>
      <c r="B53" s="319" t="s">
        <v>360</v>
      </c>
      <c r="C53" s="86" t="s">
        <v>361</v>
      </c>
      <c r="D53" s="86"/>
      <c r="E53" s="101"/>
      <c r="F53" s="112" t="s">
        <v>213</v>
      </c>
      <c r="G53" s="86" t="s">
        <v>520</v>
      </c>
      <c r="H53" s="213">
        <v>43338</v>
      </c>
      <c r="I53" s="114"/>
      <c r="J53" s="114"/>
      <c r="K53" s="132"/>
    </row>
    <row r="54" spans="1:11" s="89" customFormat="1" ht="23.25">
      <c r="A54"/>
      <c r="B54" s="129" t="s">
        <v>362</v>
      </c>
      <c r="C54" s="86" t="s">
        <v>246</v>
      </c>
      <c r="D54" s="86"/>
      <c r="E54" s="116" t="s">
        <v>363</v>
      </c>
      <c r="F54" s="112" t="s">
        <v>213</v>
      </c>
      <c r="G54" s="86" t="s">
        <v>521</v>
      </c>
      <c r="H54" s="115">
        <v>43315</v>
      </c>
      <c r="I54" s="115"/>
      <c r="J54" s="115"/>
      <c r="K54" s="126"/>
    </row>
    <row r="55" spans="1:11" s="89" customFormat="1">
      <c r="A55"/>
      <c r="B55" s="319" t="s">
        <v>265</v>
      </c>
      <c r="C55" s="86" t="s">
        <v>266</v>
      </c>
      <c r="D55" s="86"/>
      <c r="E55" s="86"/>
      <c r="F55" s="86"/>
      <c r="G55" s="86"/>
      <c r="H55" s="85"/>
      <c r="I55" s="85"/>
      <c r="J55" s="85"/>
      <c r="K55" s="133"/>
    </row>
    <row r="56" spans="1:11" s="89" customFormat="1">
      <c r="A56"/>
      <c r="B56" s="319" t="s">
        <v>267</v>
      </c>
      <c r="C56" s="86" t="s">
        <v>268</v>
      </c>
      <c r="D56" s="86"/>
      <c r="E56" s="86"/>
      <c r="F56" s="86"/>
      <c r="G56" s="86"/>
      <c r="H56" s="85"/>
      <c r="I56" s="85"/>
      <c r="J56" s="85"/>
      <c r="K56" s="133"/>
    </row>
    <row r="57" spans="1:11" s="103" customFormat="1" ht="40.5" customHeight="1">
      <c r="B57" s="319" t="s">
        <v>584</v>
      </c>
      <c r="C57" s="86" t="s">
        <v>585</v>
      </c>
      <c r="D57" s="323">
        <v>1</v>
      </c>
      <c r="E57" s="86" t="s">
        <v>588</v>
      </c>
      <c r="F57" s="90" t="s">
        <v>213</v>
      </c>
      <c r="G57" s="86" t="s">
        <v>587</v>
      </c>
      <c r="H57" s="85">
        <v>43693</v>
      </c>
      <c r="I57" s="190"/>
      <c r="J57" s="190"/>
      <c r="K57" s="133"/>
    </row>
    <row r="58" spans="1:11" s="89" customFormat="1" ht="33.75">
      <c r="A58"/>
      <c r="B58" s="319" t="s">
        <v>410</v>
      </c>
      <c r="C58" s="86" t="s">
        <v>269</v>
      </c>
      <c r="D58" s="86"/>
      <c r="E58" s="86" t="s">
        <v>403</v>
      </c>
      <c r="F58" s="112" t="s">
        <v>213</v>
      </c>
      <c r="G58" s="86" t="s">
        <v>522</v>
      </c>
      <c r="H58" s="323"/>
      <c r="I58" s="323"/>
      <c r="J58" s="323"/>
      <c r="K58" s="133"/>
    </row>
    <row r="59" spans="1:11" s="89" customFormat="1" ht="33.75">
      <c r="A59"/>
      <c r="B59" s="319" t="s">
        <v>413</v>
      </c>
      <c r="C59" s="86" t="s">
        <v>270</v>
      </c>
      <c r="D59" s="86"/>
      <c r="E59" s="86" t="s">
        <v>402</v>
      </c>
      <c r="F59" s="112" t="s">
        <v>213</v>
      </c>
      <c r="G59" s="86" t="s">
        <v>523</v>
      </c>
      <c r="H59" s="323"/>
      <c r="I59" s="323"/>
      <c r="J59" s="323"/>
      <c r="K59" s="133"/>
    </row>
    <row r="60" spans="1:11" s="89" customFormat="1" ht="22.5">
      <c r="A60"/>
      <c r="B60" s="319" t="s">
        <v>271</v>
      </c>
      <c r="C60" s="86" t="s">
        <v>272</v>
      </c>
      <c r="D60" s="86"/>
      <c r="E60" s="86"/>
      <c r="F60" s="112" t="s">
        <v>213</v>
      </c>
      <c r="G60" s="86" t="s">
        <v>524</v>
      </c>
      <c r="H60" s="321"/>
      <c r="I60" s="321"/>
      <c r="J60" s="321"/>
      <c r="K60" s="133"/>
    </row>
    <row r="61" spans="1:11" s="89" customFormat="1" ht="22.5">
      <c r="A61"/>
      <c r="B61" s="319" t="s">
        <v>273</v>
      </c>
      <c r="C61" s="86" t="s">
        <v>274</v>
      </c>
      <c r="D61" s="86"/>
      <c r="E61" s="86"/>
      <c r="F61" s="112" t="s">
        <v>213</v>
      </c>
      <c r="G61" s="86" t="s">
        <v>524</v>
      </c>
      <c r="H61" s="321"/>
      <c r="I61" s="321"/>
      <c r="J61" s="321"/>
      <c r="K61" s="133"/>
    </row>
    <row r="62" spans="1:11" s="89" customFormat="1" ht="22.5">
      <c r="A62"/>
      <c r="B62" s="319" t="s">
        <v>275</v>
      </c>
      <c r="C62" s="86" t="s">
        <v>266</v>
      </c>
      <c r="D62" s="86"/>
      <c r="E62" s="86"/>
      <c r="F62" s="86"/>
      <c r="G62" s="86"/>
      <c r="H62" s="321"/>
      <c r="I62" s="321"/>
      <c r="J62" s="321"/>
      <c r="K62" s="133"/>
    </row>
    <row r="63" spans="1:11" s="89" customFormat="1" ht="22.5">
      <c r="A63"/>
      <c r="B63" s="319" t="s">
        <v>276</v>
      </c>
      <c r="C63" s="86" t="s">
        <v>277</v>
      </c>
      <c r="D63" s="86"/>
      <c r="E63" s="86"/>
      <c r="F63" s="86"/>
      <c r="G63" s="86"/>
      <c r="H63" s="321"/>
      <c r="I63" s="321"/>
      <c r="J63" s="321"/>
      <c r="K63" s="133"/>
    </row>
    <row r="64" spans="1:11" s="104" customFormat="1">
      <c r="A64"/>
      <c r="B64" s="129" t="s">
        <v>278</v>
      </c>
      <c r="C64" s="86" t="s">
        <v>266</v>
      </c>
      <c r="D64" s="86"/>
      <c r="E64" s="86"/>
      <c r="F64" s="86"/>
      <c r="G64" s="86"/>
      <c r="H64" s="323"/>
      <c r="I64" s="323"/>
      <c r="J64" s="323"/>
      <c r="K64" s="133"/>
    </row>
    <row r="65" spans="1:11" s="104" customFormat="1" ht="6" customHeight="1">
      <c r="A65"/>
      <c r="B65" s="156"/>
      <c r="C65" s="155"/>
      <c r="D65" s="155"/>
      <c r="E65" s="86"/>
      <c r="F65" s="86"/>
      <c r="G65" s="86"/>
      <c r="H65" s="323"/>
      <c r="I65" s="323"/>
      <c r="J65" s="323"/>
      <c r="K65" s="133"/>
    </row>
    <row r="66" spans="1:11" customFormat="1" ht="21" customHeight="1">
      <c r="B66" s="481"/>
      <c r="C66" s="482"/>
      <c r="D66" s="482"/>
      <c r="E66" s="571" t="s">
        <v>49</v>
      </c>
      <c r="F66" s="571"/>
      <c r="G66" s="571"/>
      <c r="H66" s="571"/>
      <c r="I66" s="571"/>
      <c r="J66" s="572"/>
      <c r="K66" s="573"/>
    </row>
    <row r="67" spans="1:11" customFormat="1" ht="21" customHeight="1">
      <c r="B67" s="483"/>
      <c r="C67" s="570"/>
      <c r="D67" s="570"/>
      <c r="E67" s="571"/>
      <c r="F67" s="571"/>
      <c r="G67" s="571"/>
      <c r="H67" s="571"/>
      <c r="I67" s="571"/>
      <c r="J67" s="572"/>
      <c r="K67" s="573"/>
    </row>
    <row r="68" spans="1:11" customFormat="1" ht="21" customHeight="1">
      <c r="B68" s="483"/>
      <c r="C68" s="570"/>
      <c r="D68" s="570"/>
      <c r="E68" s="571"/>
      <c r="F68" s="571"/>
      <c r="G68" s="571"/>
      <c r="H68" s="571"/>
      <c r="I68" s="571"/>
      <c r="J68" s="572"/>
      <c r="K68" s="573"/>
    </row>
    <row r="69" spans="1:11" customFormat="1" ht="21" customHeight="1">
      <c r="B69" s="483"/>
      <c r="C69" s="570"/>
      <c r="D69" s="570"/>
      <c r="E69" s="571"/>
      <c r="F69" s="571"/>
      <c r="G69" s="571"/>
      <c r="H69" s="571"/>
      <c r="I69" s="571"/>
      <c r="J69" s="572"/>
      <c r="K69" s="573"/>
    </row>
    <row r="70" spans="1:11" customFormat="1" ht="60.6" customHeight="1" thickBot="1">
      <c r="B70" s="485"/>
      <c r="C70" s="486"/>
      <c r="D70" s="486"/>
      <c r="E70" s="574" t="s">
        <v>51</v>
      </c>
      <c r="F70" s="574"/>
      <c r="G70" s="574"/>
      <c r="H70" s="574"/>
      <c r="I70" s="574"/>
      <c r="J70" s="575"/>
      <c r="K70" s="576"/>
    </row>
  </sheetData>
  <mergeCells count="13">
    <mergeCell ref="B66:D70"/>
    <mergeCell ref="E66:K69"/>
    <mergeCell ref="E70:K70"/>
    <mergeCell ref="B1:K1"/>
    <mergeCell ref="B2:K2"/>
    <mergeCell ref="B37:B38"/>
    <mergeCell ref="C37:C38"/>
    <mergeCell ref="H37:H38"/>
    <mergeCell ref="B50:B52"/>
    <mergeCell ref="C50:C52"/>
    <mergeCell ref="K50:K52"/>
    <mergeCell ref="D3:H7"/>
    <mergeCell ref="I5:K7"/>
  </mergeCells>
  <phoneticPr fontId="72" type="noConversion"/>
  <hyperlinks>
    <hyperlink ref="F27" r:id="rId1" xr:uid="{26317DD9-DFAA-4898-8C0A-39A4F0FCB3AC}"/>
    <hyperlink ref="F28:F32" r:id="rId2" display="Product Suppliers Patterns and Guides" xr:uid="{877677DD-EACE-4198-AAE4-411C32134DFA}"/>
    <hyperlink ref="F46" r:id="rId3" xr:uid="{38F445CB-D447-4FDB-8A23-ACB5887469DA}"/>
    <hyperlink ref="F49" r:id="rId4" xr:uid="{D1C801DA-2495-472A-AD17-F572B9B0C3D6}"/>
    <hyperlink ref="F50" r:id="rId5" xr:uid="{AB856647-EDFE-478B-9976-001E04165063}"/>
    <hyperlink ref="F51:F52" r:id="rId6" display="Suppliers Product Packing Artwork Files" xr:uid="{22A0868D-D0AF-419E-A061-09E1A06AEAB9}"/>
    <hyperlink ref="F37" r:id="rId7" xr:uid="{FA1BC506-3512-4132-88B9-7D7CA2B392A8}"/>
    <hyperlink ref="F38:F39" r:id="rId8" display="Suppliers Product Packing Artwork Files" xr:uid="{F20DC82B-EE00-4846-9114-BC85915BA9D5}"/>
    <hyperlink ref="F40:F42" r:id="rId9" display="Suppliers Product Packing Artwork Files" xr:uid="{3E10DAD3-1EC5-45AF-B454-CFE319E41EED}"/>
    <hyperlink ref="F41" r:id="rId10" xr:uid="{B019074D-5FC0-4F74-8FD9-C3D3ABF0800B}"/>
    <hyperlink ref="F47" r:id="rId11" xr:uid="{0F368558-8751-414D-A95F-F88FDBE6DF01}"/>
    <hyperlink ref="F48" r:id="rId12" xr:uid="{F4368FF5-27E4-40AB-B7AA-6A4D815EC981}"/>
    <hyperlink ref="F58:F59" r:id="rId13" display="Suppliers Product Packing Artwork Files" xr:uid="{3B909ECA-797F-4444-99CC-0C7203BDA3B5}"/>
    <hyperlink ref="F60:F61" r:id="rId14" display="Suppliers Product Packing Artwork Files" xr:uid="{A0145284-EE22-4E29-8290-47A96816DF92}"/>
    <hyperlink ref="F43" r:id="rId15" xr:uid="{7966732A-1507-4CA8-B297-4EF37DEF0B0C}"/>
    <hyperlink ref="F33" r:id="rId16" xr:uid="{EC2F9ED3-0DCA-418F-B5C5-033D126A3D9B}"/>
    <hyperlink ref="F34" r:id="rId17" xr:uid="{957C71F5-6075-4CDF-B907-DFD4F97459B0}"/>
    <hyperlink ref="F35" r:id="rId18" xr:uid="{E99AEEC2-E987-4ECB-91C3-D0BA77FE07F0}"/>
    <hyperlink ref="F53" r:id="rId19" xr:uid="{C3EDC392-5F52-4B69-BD3B-8F24BC07C005}"/>
    <hyperlink ref="F54" r:id="rId20" xr:uid="{4751E13B-BC42-4E0C-BD14-1753FC7909EE}"/>
    <hyperlink ref="F44" r:id="rId21" xr:uid="{1E974726-C481-413D-8D2A-2A90374BFE3B}"/>
    <hyperlink ref="F57" r:id="rId22" xr:uid="{B1819850-A63D-4F00-A4A3-B5F764DFE22D}"/>
  </hyperlinks>
  <pageMargins left="0.19685039370078741" right="0.19685039370078741" top="0" bottom="0" header="0.31496062992125984" footer="0.31496062992125984"/>
  <pageSetup paperSize="9" scale="50" fitToHeight="0" orientation="landscape" r:id="rId23"/>
  <drawing r:id="rId2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2C605-822A-47EB-B364-E78AAA520445}">
  <sheetPr codeName="Sheet17">
    <pageSetUpPr fitToPage="1"/>
  </sheetPr>
  <dimension ref="A1:K54"/>
  <sheetViews>
    <sheetView zoomScale="90" zoomScaleNormal="90" workbookViewId="0">
      <selection activeCell="K3" sqref="K3"/>
    </sheetView>
  </sheetViews>
  <sheetFormatPr defaultColWidth="9.140625" defaultRowHeight="15"/>
  <cols>
    <col min="1" max="1" width="5.42578125" customWidth="1"/>
    <col min="2" max="2" width="21.7109375" style="77" customWidth="1"/>
    <col min="3" max="3" width="33" style="77" customWidth="1"/>
    <col min="4" max="4" width="14.140625" style="77" customWidth="1"/>
    <col min="5" max="5" width="17.140625" style="77" customWidth="1"/>
    <col min="6" max="6" width="19.85546875" style="77" customWidth="1"/>
    <col min="7" max="7" width="29.5703125" style="77" customWidth="1"/>
    <col min="8" max="10" width="16.140625" style="77" customWidth="1"/>
    <col min="11" max="11" width="12.42578125" style="77" customWidth="1"/>
    <col min="12" max="16384" width="9.140625" style="76"/>
  </cols>
  <sheetData>
    <row r="1" spans="1:11" ht="81.599999999999994" customHeight="1">
      <c r="B1" s="577"/>
      <c r="C1" s="578"/>
      <c r="D1" s="578"/>
      <c r="E1" s="578"/>
      <c r="F1" s="578"/>
      <c r="G1" s="578"/>
      <c r="H1" s="578"/>
      <c r="I1" s="578"/>
      <c r="J1" s="578"/>
      <c r="K1" s="579"/>
    </row>
    <row r="2" spans="1:11" ht="23.25">
      <c r="B2" s="580" t="s">
        <v>334</v>
      </c>
      <c r="C2" s="581"/>
      <c r="D2" s="581"/>
      <c r="E2" s="581"/>
      <c r="F2" s="581"/>
      <c r="G2" s="581"/>
      <c r="H2" s="581"/>
      <c r="I2" s="581"/>
      <c r="J2" s="582"/>
      <c r="K2" s="583"/>
    </row>
    <row r="3" spans="1:11" s="289" customFormat="1" ht="30.75" customHeight="1">
      <c r="A3"/>
      <c r="B3" s="39" t="s">
        <v>23</v>
      </c>
      <c r="C3" s="58"/>
      <c r="D3" s="415"/>
      <c r="E3" s="416"/>
      <c r="F3" s="416"/>
      <c r="G3" s="416"/>
      <c r="H3" s="416"/>
      <c r="I3" s="416"/>
      <c r="J3" s="141" t="s">
        <v>170</v>
      </c>
      <c r="K3" s="140">
        <v>43790</v>
      </c>
    </row>
    <row r="4" spans="1:11" s="289" customFormat="1" ht="15.75" customHeight="1">
      <c r="A4"/>
      <c r="B4" s="41" t="s">
        <v>3</v>
      </c>
      <c r="C4" s="21"/>
      <c r="D4" s="417"/>
      <c r="E4" s="591"/>
      <c r="F4" s="591"/>
      <c r="G4" s="591"/>
      <c r="H4" s="591"/>
      <c r="I4" s="591"/>
      <c r="J4" s="183" t="s">
        <v>5</v>
      </c>
      <c r="K4" s="328"/>
    </row>
    <row r="5" spans="1:11" s="289" customFormat="1" ht="18" customHeight="1">
      <c r="A5"/>
      <c r="B5" s="42" t="s">
        <v>72</v>
      </c>
      <c r="C5" s="59"/>
      <c r="D5" s="417"/>
      <c r="E5" s="591"/>
      <c r="F5" s="591"/>
      <c r="G5" s="591"/>
      <c r="H5" s="591"/>
      <c r="I5" s="591"/>
      <c r="J5" s="462"/>
      <c r="K5" s="594"/>
    </row>
    <row r="6" spans="1:11" s="289" customFormat="1" ht="15.75" customHeight="1">
      <c r="A6"/>
      <c r="B6" s="43" t="s">
        <v>312</v>
      </c>
      <c r="C6" s="163"/>
      <c r="D6" s="417"/>
      <c r="E6" s="591"/>
      <c r="F6" s="591"/>
      <c r="G6" s="591"/>
      <c r="H6" s="591"/>
      <c r="I6" s="591"/>
      <c r="J6" s="595"/>
      <c r="K6" s="403"/>
    </row>
    <row r="7" spans="1:11" s="289" customFormat="1" ht="15.75" customHeight="1">
      <c r="A7"/>
      <c r="B7" s="43"/>
      <c r="C7" s="21"/>
      <c r="D7" s="419"/>
      <c r="E7" s="420"/>
      <c r="F7" s="420"/>
      <c r="G7" s="420"/>
      <c r="H7" s="420"/>
      <c r="I7" s="420"/>
      <c r="J7" s="404"/>
      <c r="K7" s="405"/>
    </row>
    <row r="8" spans="1:11" s="79" customFormat="1">
      <c r="A8"/>
      <c r="B8" s="121" t="s">
        <v>18</v>
      </c>
      <c r="C8" s="78" t="s">
        <v>173</v>
      </c>
      <c r="D8" s="78" t="s">
        <v>174</v>
      </c>
      <c r="E8" s="78" t="s">
        <v>175</v>
      </c>
      <c r="F8" s="78" t="s">
        <v>176</v>
      </c>
      <c r="G8" s="78" t="s">
        <v>177</v>
      </c>
      <c r="H8" s="78" t="s">
        <v>178</v>
      </c>
      <c r="I8" s="78" t="s">
        <v>630</v>
      </c>
      <c r="J8" s="78" t="s">
        <v>631</v>
      </c>
      <c r="K8" s="122" t="s">
        <v>180</v>
      </c>
    </row>
    <row r="9" spans="1:11" s="81" customFormat="1">
      <c r="A9"/>
      <c r="B9" s="123" t="s">
        <v>181</v>
      </c>
      <c r="C9" s="80"/>
      <c r="D9" s="80"/>
      <c r="E9" s="80"/>
      <c r="F9" s="80"/>
      <c r="G9" s="80"/>
      <c r="H9" s="80"/>
      <c r="I9" s="80"/>
      <c r="J9" s="80"/>
      <c r="K9" s="124"/>
    </row>
    <row r="10" spans="1:11" s="84" customFormat="1" ht="30" customHeight="1">
      <c r="A10"/>
      <c r="B10" s="125" t="s">
        <v>182</v>
      </c>
      <c r="C10" s="83" t="s">
        <v>589</v>
      </c>
      <c r="D10" s="83" t="s">
        <v>590</v>
      </c>
      <c r="E10" s="83" t="s">
        <v>185</v>
      </c>
      <c r="F10" s="83"/>
      <c r="G10" s="83"/>
      <c r="H10" s="111"/>
      <c r="I10" s="111"/>
      <c r="J10" s="111"/>
      <c r="K10" s="126"/>
    </row>
    <row r="11" spans="1:11" s="84" customFormat="1" ht="13.5" customHeight="1">
      <c r="A11"/>
      <c r="B11" s="125" t="s">
        <v>594</v>
      </c>
      <c r="C11" s="290"/>
      <c r="D11" s="290"/>
      <c r="E11" s="290"/>
      <c r="F11" s="290"/>
      <c r="G11" s="290"/>
      <c r="H11" s="291"/>
      <c r="I11" s="291"/>
      <c r="J11" s="80"/>
      <c r="K11" s="292"/>
    </row>
    <row r="12" spans="1:11" s="84" customFormat="1" ht="30" customHeight="1">
      <c r="A12"/>
      <c r="B12" s="125" t="s">
        <v>182</v>
      </c>
      <c r="C12" s="83" t="s">
        <v>595</v>
      </c>
      <c r="D12" s="83" t="s">
        <v>596</v>
      </c>
      <c r="E12" s="83" t="s">
        <v>185</v>
      </c>
      <c r="F12" s="83"/>
      <c r="G12" s="83"/>
      <c r="H12" s="111"/>
      <c r="I12" s="111"/>
      <c r="J12" s="85"/>
      <c r="K12" s="126"/>
    </row>
    <row r="13" spans="1:11" s="81" customFormat="1" ht="33.75" customHeight="1">
      <c r="A13"/>
      <c r="B13" s="128" t="s">
        <v>199</v>
      </c>
      <c r="C13" s="80"/>
      <c r="D13" s="80"/>
      <c r="E13" s="80"/>
      <c r="F13" s="80"/>
      <c r="G13" s="80"/>
      <c r="H13" s="88"/>
      <c r="I13" s="88"/>
      <c r="J13" s="80"/>
      <c r="K13" s="124"/>
    </row>
    <row r="14" spans="1:11" s="89" customFormat="1">
      <c r="A14"/>
      <c r="B14" s="129" t="s">
        <v>200</v>
      </c>
      <c r="C14" s="86"/>
      <c r="D14" s="86"/>
      <c r="E14" s="86"/>
      <c r="F14" s="86"/>
      <c r="G14" s="86"/>
      <c r="H14" s="321"/>
      <c r="I14" s="321"/>
      <c r="J14" s="85"/>
      <c r="K14" s="126"/>
    </row>
    <row r="15" spans="1:11" s="89" customFormat="1">
      <c r="A15"/>
      <c r="B15" s="129" t="s">
        <v>201</v>
      </c>
      <c r="C15" s="86"/>
      <c r="D15" s="86"/>
      <c r="E15" s="86"/>
      <c r="F15" s="86"/>
      <c r="G15" s="86"/>
      <c r="H15" s="321"/>
      <c r="I15" s="321"/>
      <c r="J15" s="85"/>
      <c r="K15" s="126"/>
    </row>
    <row r="16" spans="1:11" s="89" customFormat="1">
      <c r="A16"/>
      <c r="B16" s="129" t="s">
        <v>202</v>
      </c>
      <c r="C16" s="86"/>
      <c r="D16" s="86"/>
      <c r="E16" s="86"/>
      <c r="F16" s="86"/>
      <c r="G16" s="86"/>
      <c r="H16" s="321"/>
      <c r="I16" s="321"/>
      <c r="J16" s="87"/>
      <c r="K16" s="126"/>
    </row>
    <row r="17" spans="1:11" s="89" customFormat="1">
      <c r="A17"/>
      <c r="B17" s="129" t="s">
        <v>203</v>
      </c>
      <c r="C17" s="86"/>
      <c r="D17" s="86"/>
      <c r="E17" s="86"/>
      <c r="F17" s="86"/>
      <c r="G17" s="86"/>
      <c r="H17" s="321"/>
      <c r="I17" s="321"/>
      <c r="J17" s="189"/>
      <c r="K17" s="126"/>
    </row>
    <row r="18" spans="1:11" s="81" customFormat="1" ht="32.25" customHeight="1">
      <c r="A18"/>
      <c r="B18" s="127" t="s">
        <v>223</v>
      </c>
      <c r="C18" s="92"/>
      <c r="D18" s="92"/>
      <c r="E18" s="92"/>
      <c r="F18" s="92"/>
      <c r="G18" s="92"/>
      <c r="H18" s="93"/>
      <c r="I18" s="93"/>
      <c r="J18" s="321"/>
      <c r="K18" s="130"/>
    </row>
    <row r="19" spans="1:11" s="89" customFormat="1" ht="22.5">
      <c r="A19"/>
      <c r="B19" s="129" t="s">
        <v>591</v>
      </c>
      <c r="C19" s="94" t="s">
        <v>225</v>
      </c>
      <c r="D19" s="94"/>
      <c r="E19" s="94"/>
      <c r="F19" s="95" t="s">
        <v>226</v>
      </c>
      <c r="G19" s="96" t="s">
        <v>227</v>
      </c>
      <c r="H19" s="97">
        <v>43350</v>
      </c>
      <c r="I19" s="97"/>
      <c r="J19" s="88"/>
      <c r="K19" s="131"/>
    </row>
    <row r="20" spans="1:11" s="89" customFormat="1" ht="22.5">
      <c r="A20"/>
      <c r="B20" s="129" t="s">
        <v>592</v>
      </c>
      <c r="C20" s="94" t="s">
        <v>225</v>
      </c>
      <c r="D20" s="94"/>
      <c r="E20" s="94"/>
      <c r="F20" s="95" t="s">
        <v>226</v>
      </c>
      <c r="G20" s="98" t="s">
        <v>229</v>
      </c>
      <c r="H20" s="97">
        <v>43350</v>
      </c>
      <c r="I20" s="97"/>
      <c r="J20" s="321"/>
      <c r="K20" s="131"/>
    </row>
    <row r="21" spans="1:11" s="89" customFormat="1" ht="22.5">
      <c r="A21"/>
      <c r="B21" s="129" t="s">
        <v>593</v>
      </c>
      <c r="C21" s="94" t="s">
        <v>225</v>
      </c>
      <c r="D21" s="94"/>
      <c r="E21" s="94"/>
      <c r="F21" s="95" t="s">
        <v>226</v>
      </c>
      <c r="G21" s="98" t="s">
        <v>364</v>
      </c>
      <c r="H21" s="97">
        <v>43350</v>
      </c>
      <c r="I21" s="97"/>
      <c r="J21" s="321"/>
      <c r="K21" s="131"/>
    </row>
    <row r="22" spans="1:11" s="81" customFormat="1" ht="51" customHeight="1">
      <c r="A22"/>
      <c r="B22" s="128" t="s">
        <v>238</v>
      </c>
      <c r="C22" s="92"/>
      <c r="D22" s="92"/>
      <c r="E22" s="92"/>
      <c r="F22" s="92"/>
      <c r="G22" s="92"/>
      <c r="H22" s="93"/>
      <c r="I22" s="93"/>
      <c r="J22" s="321"/>
      <c r="K22" s="130"/>
    </row>
    <row r="23" spans="1:11" s="89" customFormat="1" ht="22.5">
      <c r="A23"/>
      <c r="B23" s="584" t="s">
        <v>209</v>
      </c>
      <c r="C23" s="585" t="s">
        <v>210</v>
      </c>
      <c r="D23" s="320" t="s">
        <v>211</v>
      </c>
      <c r="E23" s="323" t="s">
        <v>212</v>
      </c>
      <c r="F23" s="112" t="s">
        <v>213</v>
      </c>
      <c r="G23" s="113" t="s">
        <v>509</v>
      </c>
      <c r="H23" s="586">
        <v>43260</v>
      </c>
      <c r="I23" s="321"/>
      <c r="J23" s="321"/>
      <c r="K23" s="137"/>
    </row>
    <row r="24" spans="1:11" s="89" customFormat="1" ht="22.5">
      <c r="A24"/>
      <c r="B24" s="584"/>
      <c r="C24" s="585"/>
      <c r="D24" s="320" t="s">
        <v>211</v>
      </c>
      <c r="E24" s="323" t="s">
        <v>214</v>
      </c>
      <c r="F24" s="112" t="s">
        <v>213</v>
      </c>
      <c r="G24" s="113" t="s">
        <v>509</v>
      </c>
      <c r="H24" s="586"/>
      <c r="I24" s="321"/>
      <c r="J24" s="321"/>
      <c r="K24" s="137"/>
    </row>
    <row r="25" spans="1:11" s="89" customFormat="1" ht="22.5">
      <c r="A25"/>
      <c r="B25" s="129" t="s">
        <v>215</v>
      </c>
      <c r="C25" s="320" t="s">
        <v>216</v>
      </c>
      <c r="D25" s="320" t="s">
        <v>217</v>
      </c>
      <c r="E25" s="320" t="s">
        <v>218</v>
      </c>
      <c r="F25" s="112" t="s">
        <v>213</v>
      </c>
      <c r="G25" s="113" t="s">
        <v>510</v>
      </c>
      <c r="H25" s="321">
        <v>43281</v>
      </c>
      <c r="I25" s="321"/>
      <c r="J25" s="321"/>
      <c r="K25" s="137"/>
    </row>
    <row r="26" spans="1:11" s="89" customFormat="1" ht="33.75">
      <c r="A26"/>
      <c r="B26" s="319" t="s">
        <v>258</v>
      </c>
      <c r="C26" s="86" t="s">
        <v>259</v>
      </c>
      <c r="D26" s="86"/>
      <c r="E26" s="86"/>
      <c r="F26" s="112" t="s">
        <v>213</v>
      </c>
      <c r="G26" s="113" t="s">
        <v>511</v>
      </c>
      <c r="H26" s="85"/>
      <c r="I26" s="85"/>
      <c r="J26" s="93"/>
      <c r="K26" s="131"/>
    </row>
    <row r="27" spans="1:11" s="89" customFormat="1" ht="33.75">
      <c r="A27"/>
      <c r="B27" s="319" t="s">
        <v>406</v>
      </c>
      <c r="C27" s="86" t="s">
        <v>260</v>
      </c>
      <c r="D27" s="86"/>
      <c r="E27" s="86"/>
      <c r="F27" s="112" t="s">
        <v>213</v>
      </c>
      <c r="G27" s="113" t="s">
        <v>512</v>
      </c>
      <c r="H27" s="85"/>
      <c r="I27" s="85"/>
      <c r="J27" s="97"/>
      <c r="K27" s="131"/>
    </row>
    <row r="28" spans="1:11" s="89" customFormat="1" ht="33.75">
      <c r="A28"/>
      <c r="B28" s="319" t="s">
        <v>261</v>
      </c>
      <c r="C28" s="86" t="s">
        <v>262</v>
      </c>
      <c r="D28" s="86"/>
      <c r="E28" s="86"/>
      <c r="F28" s="112" t="s">
        <v>213</v>
      </c>
      <c r="G28" s="113" t="s">
        <v>513</v>
      </c>
      <c r="H28" s="102"/>
      <c r="I28" s="102"/>
      <c r="J28" s="97"/>
      <c r="K28" s="133"/>
    </row>
    <row r="29" spans="1:11" s="103" customFormat="1" ht="34.5" customHeight="1">
      <c r="A29" s="120"/>
      <c r="B29" s="319" t="s">
        <v>263</v>
      </c>
      <c r="C29" s="86" t="s">
        <v>264</v>
      </c>
      <c r="D29" s="86"/>
      <c r="E29" s="86"/>
      <c r="F29" s="112" t="s">
        <v>213</v>
      </c>
      <c r="G29" s="108" t="s">
        <v>514</v>
      </c>
      <c r="H29" s="28"/>
      <c r="I29" s="28"/>
      <c r="J29" s="97"/>
      <c r="K29" s="133"/>
    </row>
    <row r="30" spans="1:11" s="89" customFormat="1" ht="33.75">
      <c r="A30"/>
      <c r="B30" s="319" t="s">
        <v>481</v>
      </c>
      <c r="C30" s="86" t="s">
        <v>259</v>
      </c>
      <c r="D30" s="86"/>
      <c r="E30" s="86"/>
      <c r="F30" s="112" t="s">
        <v>213</v>
      </c>
      <c r="G30" s="113" t="s">
        <v>515</v>
      </c>
      <c r="H30" s="85"/>
      <c r="I30" s="85"/>
      <c r="J30" s="97"/>
      <c r="K30" s="131"/>
    </row>
    <row r="31" spans="1:11" s="89" customFormat="1" ht="23.25">
      <c r="A31"/>
      <c r="B31" s="129" t="s">
        <v>239</v>
      </c>
      <c r="C31" s="86" t="s">
        <v>240</v>
      </c>
      <c r="D31" s="86"/>
      <c r="E31" s="116" t="s">
        <v>241</v>
      </c>
      <c r="F31" s="86"/>
      <c r="G31" s="86"/>
      <c r="H31" s="114"/>
      <c r="I31" s="114"/>
      <c r="J31" s="97"/>
      <c r="K31" s="131"/>
    </row>
    <row r="32" spans="1:11" s="89" customFormat="1" ht="31.5" customHeight="1">
      <c r="A32"/>
      <c r="B32" s="129" t="s">
        <v>242</v>
      </c>
      <c r="C32" s="86" t="s">
        <v>243</v>
      </c>
      <c r="D32" s="86"/>
      <c r="E32" s="142" t="s">
        <v>244</v>
      </c>
      <c r="F32" s="112" t="s">
        <v>213</v>
      </c>
      <c r="G32" s="100" t="s">
        <v>516</v>
      </c>
      <c r="H32" s="114"/>
      <c r="I32" s="114"/>
      <c r="J32" s="97"/>
      <c r="K32" s="137"/>
    </row>
    <row r="33" spans="1:11" s="89" customFormat="1" ht="23.25">
      <c r="A33"/>
      <c r="B33" s="129" t="s">
        <v>245</v>
      </c>
      <c r="C33" s="86" t="s">
        <v>246</v>
      </c>
      <c r="D33" s="86"/>
      <c r="E33" s="116" t="s">
        <v>247</v>
      </c>
      <c r="F33" s="112" t="s">
        <v>213</v>
      </c>
      <c r="G33" s="86" t="s">
        <v>517</v>
      </c>
      <c r="H33" s="115">
        <v>43254</v>
      </c>
      <c r="I33" s="115"/>
      <c r="J33" s="97"/>
      <c r="K33" s="126"/>
    </row>
    <row r="34" spans="1:11" s="89" customFormat="1" ht="23.25">
      <c r="A34"/>
      <c r="B34" s="129" t="s">
        <v>248</v>
      </c>
      <c r="C34" s="86" t="s">
        <v>246</v>
      </c>
      <c r="D34" s="86"/>
      <c r="E34" s="116" t="s">
        <v>249</v>
      </c>
      <c r="F34" s="112" t="s">
        <v>213</v>
      </c>
      <c r="G34" s="86" t="s">
        <v>517</v>
      </c>
      <c r="H34" s="115">
        <v>43254</v>
      </c>
      <c r="I34" s="115"/>
      <c r="J34" s="196"/>
      <c r="K34" s="126"/>
    </row>
    <row r="35" spans="1:11" s="89" customFormat="1" ht="45">
      <c r="A35"/>
      <c r="B35" s="319" t="s">
        <v>250</v>
      </c>
      <c r="C35" s="86" t="s">
        <v>251</v>
      </c>
      <c r="D35" s="86"/>
      <c r="E35" s="101" t="s">
        <v>252</v>
      </c>
      <c r="F35" s="112" t="s">
        <v>213</v>
      </c>
      <c r="G35" s="86" t="s">
        <v>518</v>
      </c>
      <c r="H35" s="114"/>
      <c r="I35" s="114"/>
      <c r="J35" s="196"/>
      <c r="K35" s="132"/>
    </row>
    <row r="36" spans="1:11" s="89" customFormat="1" ht="38.25" customHeight="1">
      <c r="A36"/>
      <c r="B36" s="587" t="s">
        <v>253</v>
      </c>
      <c r="C36" s="588" t="s">
        <v>254</v>
      </c>
      <c r="D36" s="323"/>
      <c r="E36" s="86" t="s">
        <v>255</v>
      </c>
      <c r="F36" s="112" t="s">
        <v>213</v>
      </c>
      <c r="G36" s="86" t="s">
        <v>519</v>
      </c>
      <c r="H36" s="115">
        <v>43231</v>
      </c>
      <c r="I36" s="115"/>
      <c r="J36" s="93"/>
      <c r="K36" s="589"/>
    </row>
    <row r="37" spans="1:11" s="89" customFormat="1" ht="38.25" customHeight="1">
      <c r="A37"/>
      <c r="B37" s="587"/>
      <c r="C37" s="588"/>
      <c r="D37" s="323"/>
      <c r="E37" s="86" t="s">
        <v>256</v>
      </c>
      <c r="F37" s="112" t="s">
        <v>213</v>
      </c>
      <c r="G37" s="86" t="s">
        <v>519</v>
      </c>
      <c r="H37" s="115">
        <v>43231</v>
      </c>
      <c r="I37" s="115"/>
      <c r="J37" s="321"/>
      <c r="K37" s="589"/>
    </row>
    <row r="38" spans="1:11" s="89" customFormat="1" ht="38.25" customHeight="1">
      <c r="A38"/>
      <c r="B38" s="587"/>
      <c r="C38" s="588"/>
      <c r="D38" s="323"/>
      <c r="E38" s="86" t="s">
        <v>257</v>
      </c>
      <c r="F38" s="112" t="s">
        <v>213</v>
      </c>
      <c r="G38" s="86" t="s">
        <v>519</v>
      </c>
      <c r="H38" s="115">
        <v>43231</v>
      </c>
      <c r="I38" s="115"/>
      <c r="J38" s="321"/>
      <c r="K38" s="589"/>
    </row>
    <row r="39" spans="1:11" s="89" customFormat="1">
      <c r="A39"/>
      <c r="B39" s="319" t="s">
        <v>265</v>
      </c>
      <c r="C39" s="86" t="s">
        <v>266</v>
      </c>
      <c r="D39" s="86"/>
      <c r="E39" s="86"/>
      <c r="F39" s="86"/>
      <c r="G39" s="86"/>
      <c r="H39" s="85"/>
      <c r="I39" s="85"/>
      <c r="J39" s="321"/>
      <c r="K39" s="133"/>
    </row>
    <row r="40" spans="1:11" s="89" customFormat="1">
      <c r="A40"/>
      <c r="B40" s="319" t="s">
        <v>267</v>
      </c>
      <c r="C40" s="86" t="s">
        <v>268</v>
      </c>
      <c r="D40" s="86"/>
      <c r="E40" s="86"/>
      <c r="F40" s="86"/>
      <c r="G40" s="86"/>
      <c r="H40" s="85"/>
      <c r="I40" s="85"/>
      <c r="J40" s="85"/>
      <c r="K40" s="133"/>
    </row>
    <row r="41" spans="1:11" s="103" customFormat="1" ht="40.5" customHeight="1">
      <c r="B41" s="319" t="s">
        <v>584</v>
      </c>
      <c r="C41" s="86" t="s">
        <v>585</v>
      </c>
      <c r="D41" s="323">
        <v>1</v>
      </c>
      <c r="E41" s="86" t="s">
        <v>588</v>
      </c>
      <c r="F41" s="90" t="s">
        <v>213</v>
      </c>
      <c r="G41" s="86" t="s">
        <v>587</v>
      </c>
      <c r="H41" s="85">
        <v>43693</v>
      </c>
      <c r="I41" s="190"/>
      <c r="J41" s="85"/>
      <c r="K41" s="133"/>
    </row>
    <row r="42" spans="1:11" s="89" customFormat="1" ht="33.75">
      <c r="A42"/>
      <c r="B42" s="319" t="s">
        <v>410</v>
      </c>
      <c r="C42" s="86" t="s">
        <v>269</v>
      </c>
      <c r="D42" s="86"/>
      <c r="E42" s="86" t="s">
        <v>403</v>
      </c>
      <c r="F42" s="112" t="s">
        <v>213</v>
      </c>
      <c r="G42" s="86" t="s">
        <v>522</v>
      </c>
      <c r="H42" s="323"/>
      <c r="I42" s="323"/>
      <c r="J42" s="102"/>
      <c r="K42" s="133"/>
    </row>
    <row r="43" spans="1:11" s="89" customFormat="1" ht="33.75">
      <c r="A43"/>
      <c r="B43" s="319" t="s">
        <v>413</v>
      </c>
      <c r="C43" s="86" t="s">
        <v>270</v>
      </c>
      <c r="D43" s="86"/>
      <c r="E43" s="86" t="s">
        <v>402</v>
      </c>
      <c r="F43" s="112" t="s">
        <v>213</v>
      </c>
      <c r="G43" s="86" t="s">
        <v>523</v>
      </c>
      <c r="H43" s="323"/>
      <c r="I43" s="323"/>
      <c r="J43" s="28"/>
      <c r="K43" s="133"/>
    </row>
    <row r="44" spans="1:11" s="89" customFormat="1" ht="22.5">
      <c r="A44"/>
      <c r="B44" s="319" t="s">
        <v>271</v>
      </c>
      <c r="C44" s="86" t="s">
        <v>272</v>
      </c>
      <c r="D44" s="86"/>
      <c r="E44" s="86"/>
      <c r="F44" s="112" t="s">
        <v>213</v>
      </c>
      <c r="G44" s="86" t="s">
        <v>524</v>
      </c>
      <c r="H44" s="321"/>
      <c r="I44" s="321"/>
      <c r="J44" s="85"/>
      <c r="K44" s="133"/>
    </row>
    <row r="45" spans="1:11" s="89" customFormat="1" ht="22.5">
      <c r="A45"/>
      <c r="B45" s="319" t="s">
        <v>273</v>
      </c>
      <c r="C45" s="86" t="s">
        <v>274</v>
      </c>
      <c r="D45" s="86"/>
      <c r="E45" s="86"/>
      <c r="F45" s="112" t="s">
        <v>213</v>
      </c>
      <c r="G45" s="86" t="s">
        <v>524</v>
      </c>
      <c r="H45" s="321"/>
      <c r="I45" s="321"/>
      <c r="J45" s="114"/>
      <c r="K45" s="133"/>
    </row>
    <row r="46" spans="1:11" s="89" customFormat="1" ht="22.5">
      <c r="A46"/>
      <c r="B46" s="319" t="s">
        <v>275</v>
      </c>
      <c r="C46" s="86" t="s">
        <v>266</v>
      </c>
      <c r="D46" s="86"/>
      <c r="E46" s="86"/>
      <c r="F46" s="86"/>
      <c r="G46" s="86"/>
      <c r="H46" s="321"/>
      <c r="I46" s="321"/>
      <c r="J46" s="114"/>
      <c r="K46" s="133"/>
    </row>
    <row r="47" spans="1:11" s="89" customFormat="1" ht="22.5">
      <c r="A47"/>
      <c r="B47" s="319" t="s">
        <v>276</v>
      </c>
      <c r="C47" s="86" t="s">
        <v>277</v>
      </c>
      <c r="D47" s="86"/>
      <c r="E47" s="86"/>
      <c r="F47" s="86"/>
      <c r="G47" s="86"/>
      <c r="H47" s="321"/>
      <c r="I47" s="321"/>
      <c r="J47" s="115"/>
      <c r="K47" s="133"/>
    </row>
    <row r="48" spans="1:11" s="104" customFormat="1">
      <c r="A48"/>
      <c r="B48" s="129" t="s">
        <v>278</v>
      </c>
      <c r="C48" s="86" t="s">
        <v>266</v>
      </c>
      <c r="D48" s="86"/>
      <c r="E48" s="86"/>
      <c r="F48" s="86"/>
      <c r="G48" s="86"/>
      <c r="H48" s="323"/>
      <c r="I48" s="323"/>
      <c r="J48" s="115"/>
      <c r="K48" s="133"/>
    </row>
    <row r="49" spans="1:11" s="104" customFormat="1" ht="6" customHeight="1">
      <c r="A49"/>
      <c r="B49" s="156"/>
      <c r="C49" s="155"/>
      <c r="D49" s="155"/>
      <c r="E49" s="86"/>
      <c r="F49" s="86"/>
      <c r="G49" s="86"/>
      <c r="H49" s="323"/>
      <c r="I49" s="323"/>
      <c r="J49" s="114"/>
      <c r="K49" s="133"/>
    </row>
    <row r="50" spans="1:11" customFormat="1" ht="21" customHeight="1">
      <c r="B50" s="481"/>
      <c r="C50" s="482"/>
      <c r="D50" s="482"/>
      <c r="E50" s="571" t="s">
        <v>49</v>
      </c>
      <c r="F50" s="571"/>
      <c r="G50" s="571"/>
      <c r="H50" s="571"/>
      <c r="I50" s="571"/>
      <c r="J50" s="572"/>
      <c r="K50" s="573"/>
    </row>
    <row r="51" spans="1:11" customFormat="1" ht="21" customHeight="1">
      <c r="B51" s="483"/>
      <c r="C51" s="570"/>
      <c r="D51" s="570"/>
      <c r="E51" s="571"/>
      <c r="F51" s="571"/>
      <c r="G51" s="571"/>
      <c r="H51" s="571"/>
      <c r="I51" s="571"/>
      <c r="J51" s="572"/>
      <c r="K51" s="573"/>
    </row>
    <row r="52" spans="1:11" customFormat="1" ht="21" customHeight="1">
      <c r="B52" s="483"/>
      <c r="C52" s="570"/>
      <c r="D52" s="570"/>
      <c r="E52" s="571"/>
      <c r="F52" s="571"/>
      <c r="G52" s="571"/>
      <c r="H52" s="571"/>
      <c r="I52" s="571"/>
      <c r="J52" s="572"/>
      <c r="K52" s="573"/>
    </row>
    <row r="53" spans="1:11" customFormat="1" ht="21" customHeight="1">
      <c r="B53" s="483"/>
      <c r="C53" s="570"/>
      <c r="D53" s="570"/>
      <c r="E53" s="571"/>
      <c r="F53" s="571"/>
      <c r="G53" s="571"/>
      <c r="H53" s="571"/>
      <c r="I53" s="571"/>
      <c r="J53" s="572"/>
      <c r="K53" s="573"/>
    </row>
    <row r="54" spans="1:11" customFormat="1" ht="60.6" customHeight="1" thickBot="1">
      <c r="B54" s="485"/>
      <c r="C54" s="486"/>
      <c r="D54" s="486"/>
      <c r="E54" s="574" t="s">
        <v>51</v>
      </c>
      <c r="F54" s="574"/>
      <c r="G54" s="574"/>
      <c r="H54" s="574"/>
      <c r="I54" s="574"/>
      <c r="J54" s="575"/>
      <c r="K54" s="576"/>
    </row>
  </sheetData>
  <mergeCells count="13">
    <mergeCell ref="B1:K1"/>
    <mergeCell ref="B2:K2"/>
    <mergeCell ref="B23:B24"/>
    <mergeCell ref="C23:C24"/>
    <mergeCell ref="H23:H24"/>
    <mergeCell ref="D3:I7"/>
    <mergeCell ref="J5:K7"/>
    <mergeCell ref="B36:B38"/>
    <mergeCell ref="C36:C38"/>
    <mergeCell ref="K36:K38"/>
    <mergeCell ref="B50:D54"/>
    <mergeCell ref="E50:K53"/>
    <mergeCell ref="E54:K54"/>
  </mergeCells>
  <hyperlinks>
    <hyperlink ref="F19" r:id="rId1" xr:uid="{2FD27B82-CFB3-4644-936E-D8FEAC9A528B}"/>
    <hyperlink ref="F20:F21" r:id="rId2" display="Product Suppliers Patterns and Guides" xr:uid="{A5A8BCE4-7FF2-4312-B7D3-498758DF2615}"/>
    <hyperlink ref="F32" r:id="rId3" xr:uid="{E4C20D7E-721E-4372-B7FF-621269138D5D}"/>
    <hyperlink ref="F35" r:id="rId4" xr:uid="{F96786BD-6DF6-49EF-984E-05BBB2E71A95}"/>
    <hyperlink ref="F36" r:id="rId5" xr:uid="{A4894380-A6B8-49A0-BE3D-7BB6E973468F}"/>
    <hyperlink ref="F37:F38" r:id="rId6" display="Suppliers Product Packing Artwork Files" xr:uid="{53389BB5-7C8A-46F5-B073-B92D5F9C1EC4}"/>
    <hyperlink ref="F23" r:id="rId7" xr:uid="{A04EF364-3B52-4180-ACF0-FFFBA3DEE880}"/>
    <hyperlink ref="F24:F25" r:id="rId8" display="Suppliers Product Packing Artwork Files" xr:uid="{DDEF41E8-3AD0-4FCB-8F82-6F4AA0B85CCA}"/>
    <hyperlink ref="F26:F28" r:id="rId9" display="Suppliers Product Packing Artwork Files" xr:uid="{84D53EF3-F4F2-40B1-8B04-64EF06B46A60}"/>
    <hyperlink ref="F27" r:id="rId10" xr:uid="{96D34E95-99C0-468B-AB46-FAA885D3FD5B}"/>
    <hyperlink ref="F33" r:id="rId11" xr:uid="{EBAC1317-7748-4572-A3AA-19F9E720DCAA}"/>
    <hyperlink ref="F34" r:id="rId12" xr:uid="{FCB88E65-54D5-4098-AF57-986214D1EA07}"/>
    <hyperlink ref="F42:F43" r:id="rId13" display="Suppliers Product Packing Artwork Files" xr:uid="{49140D64-DA31-43DE-A21C-F29FC7D3BCCB}"/>
    <hyperlink ref="F44:F45" r:id="rId14" display="Suppliers Product Packing Artwork Files" xr:uid="{474E7551-0D1F-46DC-8457-2EB6E500E274}"/>
    <hyperlink ref="F29" r:id="rId15" xr:uid="{DC3EACA3-5315-4F96-8E84-9FA69B40F19A}"/>
    <hyperlink ref="F30" r:id="rId16" xr:uid="{48D07DE0-4CEE-4763-B05B-8217382466D0}"/>
    <hyperlink ref="F41" r:id="rId17" xr:uid="{2BF97015-9E94-459A-8D42-C9D568FE85D7}"/>
  </hyperlinks>
  <pageMargins left="0.19685039370078741" right="0.19685039370078741" top="0" bottom="0" header="0.31496062992125984" footer="0.31496062992125984"/>
  <pageSetup paperSize="9" scale="50" fitToHeight="0" orientation="landscape" r:id="rId18"/>
  <drawing r:id="rId1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1E847-6C26-4113-93BE-BD16893BF773}">
  <sheetPr codeName="Sheet4">
    <pageSetUpPr fitToPage="1"/>
  </sheetPr>
  <dimension ref="A1:K88"/>
  <sheetViews>
    <sheetView zoomScale="60" zoomScaleNormal="60" workbookViewId="0">
      <selection activeCell="K3" sqref="K3"/>
    </sheetView>
  </sheetViews>
  <sheetFormatPr defaultColWidth="9.140625" defaultRowHeight="11.25"/>
  <cols>
    <col min="1" max="1" width="9.140625" style="77"/>
    <col min="2" max="2" width="21.7109375" style="77" customWidth="1"/>
    <col min="3" max="3" width="33" style="77" customWidth="1"/>
    <col min="4" max="4" width="6.85546875" style="286" bestFit="1" customWidth="1"/>
    <col min="5" max="5" width="14.140625" style="77" bestFit="1" customWidth="1"/>
    <col min="6" max="6" width="20.42578125" style="77" customWidth="1"/>
    <col min="7" max="7" width="31.140625" style="77" customWidth="1"/>
    <col min="8" max="8" width="25.28515625" style="77" bestFit="1" customWidth="1"/>
    <col min="9" max="9" width="25.5703125" style="202" customWidth="1"/>
    <col min="10" max="10" width="16.140625" style="77" customWidth="1"/>
    <col min="11" max="11" width="12.42578125" style="77" bestFit="1" customWidth="1"/>
    <col min="12" max="16384" width="9.140625" style="77"/>
  </cols>
  <sheetData>
    <row r="1" spans="1:11" ht="81.599999999999994" customHeight="1">
      <c r="B1" s="577"/>
      <c r="C1" s="578"/>
      <c r="D1" s="578"/>
      <c r="E1" s="578"/>
      <c r="F1" s="578"/>
      <c r="G1" s="578"/>
      <c r="H1" s="578"/>
      <c r="I1" s="578"/>
      <c r="J1" s="578"/>
      <c r="K1" s="579"/>
    </row>
    <row r="2" spans="1:11" ht="25.5" customHeight="1">
      <c r="B2" s="580" t="s">
        <v>333</v>
      </c>
      <c r="C2" s="581"/>
      <c r="D2" s="581"/>
      <c r="E2" s="581"/>
      <c r="F2" s="581"/>
      <c r="G2" s="581"/>
      <c r="H2" s="581"/>
      <c r="I2" s="581"/>
      <c r="J2" s="582"/>
      <c r="K2" s="583"/>
    </row>
    <row r="3" spans="1:11" s="9" customFormat="1" ht="30.75" customHeight="1">
      <c r="A3"/>
      <c r="B3" s="39" t="s">
        <v>23</v>
      </c>
      <c r="C3" s="58"/>
      <c r="D3" s="216"/>
      <c r="E3" s="415"/>
      <c r="F3" s="416"/>
      <c r="G3" s="416"/>
      <c r="H3" s="416"/>
      <c r="I3" s="416"/>
      <c r="J3" s="141" t="s">
        <v>170</v>
      </c>
      <c r="K3" s="140">
        <v>43790</v>
      </c>
    </row>
    <row r="4" spans="1:11" s="9" customFormat="1" ht="15.75" customHeight="1">
      <c r="A4"/>
      <c r="B4" s="41" t="s">
        <v>3</v>
      </c>
      <c r="C4" s="21"/>
      <c r="D4" s="278"/>
      <c r="E4" s="417"/>
      <c r="F4" s="591"/>
      <c r="G4" s="591"/>
      <c r="H4" s="591"/>
      <c r="I4" s="591"/>
      <c r="J4" s="183" t="s">
        <v>5</v>
      </c>
      <c r="K4" s="328"/>
    </row>
    <row r="5" spans="1:11" s="9" customFormat="1" ht="18" customHeight="1">
      <c r="A5"/>
      <c r="B5" s="42" t="s">
        <v>72</v>
      </c>
      <c r="C5" s="59"/>
      <c r="D5" s="279"/>
      <c r="E5" s="417"/>
      <c r="F5" s="591"/>
      <c r="G5" s="591"/>
      <c r="H5" s="591"/>
      <c r="I5" s="591"/>
      <c r="J5" s="462"/>
      <c r="K5" s="594"/>
    </row>
    <row r="6" spans="1:11" s="9" customFormat="1" ht="15.75" customHeight="1">
      <c r="A6"/>
      <c r="B6" s="43" t="s">
        <v>312</v>
      </c>
      <c r="C6" s="163"/>
      <c r="D6" s="280"/>
      <c r="E6" s="417"/>
      <c r="F6" s="591"/>
      <c r="G6" s="591"/>
      <c r="H6" s="591"/>
      <c r="I6" s="591"/>
      <c r="J6" s="595"/>
      <c r="K6" s="403"/>
    </row>
    <row r="7" spans="1:11" s="9" customFormat="1" ht="15.75" customHeight="1">
      <c r="A7"/>
      <c r="B7" s="72"/>
      <c r="C7" s="73"/>
      <c r="D7" s="278"/>
      <c r="E7" s="419"/>
      <c r="F7" s="420"/>
      <c r="G7" s="420"/>
      <c r="H7" s="420"/>
      <c r="I7" s="420"/>
      <c r="J7" s="404"/>
      <c r="K7" s="405"/>
    </row>
    <row r="8" spans="1:11" s="105" customFormat="1">
      <c r="B8" s="121" t="s">
        <v>18</v>
      </c>
      <c r="C8" s="78" t="s">
        <v>173</v>
      </c>
      <c r="D8" s="78" t="s">
        <v>550</v>
      </c>
      <c r="E8" s="78" t="s">
        <v>174</v>
      </c>
      <c r="F8" s="78" t="s">
        <v>175</v>
      </c>
      <c r="G8" s="78" t="s">
        <v>176</v>
      </c>
      <c r="H8" s="78" t="s">
        <v>177</v>
      </c>
      <c r="I8" s="188" t="s">
        <v>179</v>
      </c>
      <c r="J8" s="78" t="s">
        <v>631</v>
      </c>
      <c r="K8" s="122" t="s">
        <v>180</v>
      </c>
    </row>
    <row r="9" spans="1:11" s="106" customFormat="1">
      <c r="B9" s="123" t="s">
        <v>181</v>
      </c>
      <c r="C9" s="80"/>
      <c r="D9" s="92"/>
      <c r="E9" s="80"/>
      <c r="F9" s="80"/>
      <c r="G9" s="80"/>
      <c r="H9" s="80"/>
      <c r="I9" s="189"/>
      <c r="J9" s="80"/>
      <c r="K9" s="124"/>
    </row>
    <row r="10" spans="1:11" s="107" customFormat="1" ht="34.15" customHeight="1">
      <c r="B10" s="125" t="s">
        <v>182</v>
      </c>
      <c r="C10" s="83" t="s">
        <v>620</v>
      </c>
      <c r="D10" s="281">
        <v>1</v>
      </c>
      <c r="E10" s="83" t="s">
        <v>619</v>
      </c>
      <c r="F10" s="83" t="s">
        <v>185</v>
      </c>
      <c r="G10" s="83"/>
      <c r="H10" s="111"/>
      <c r="I10" s="111"/>
      <c r="J10" s="111"/>
      <c r="K10" s="126"/>
    </row>
    <row r="11" spans="1:11" s="107" customFormat="1" ht="34.15" customHeight="1">
      <c r="B11" s="125" t="s">
        <v>182</v>
      </c>
      <c r="C11" s="83" t="s">
        <v>183</v>
      </c>
      <c r="D11" s="281">
        <v>1</v>
      </c>
      <c r="E11" s="83" t="s">
        <v>184</v>
      </c>
      <c r="F11" s="83" t="s">
        <v>185</v>
      </c>
      <c r="G11" s="83"/>
      <c r="H11" s="111"/>
      <c r="I11" s="111"/>
      <c r="J11" s="80"/>
      <c r="K11" s="126"/>
    </row>
    <row r="12" spans="1:11" s="107" customFormat="1" ht="34.15" customHeight="1">
      <c r="B12" s="125" t="s">
        <v>182</v>
      </c>
      <c r="C12" s="83" t="s">
        <v>597</v>
      </c>
      <c r="D12" s="281">
        <v>1</v>
      </c>
      <c r="E12" s="83" t="s">
        <v>601</v>
      </c>
      <c r="F12" s="83" t="s">
        <v>185</v>
      </c>
      <c r="G12" s="83"/>
      <c r="H12" s="111"/>
      <c r="I12" s="111"/>
      <c r="J12" s="85"/>
      <c r="K12" s="126"/>
    </row>
    <row r="13" spans="1:11" s="107" customFormat="1" ht="34.15" customHeight="1">
      <c r="B13" s="125" t="s">
        <v>182</v>
      </c>
      <c r="C13" s="83" t="s">
        <v>598</v>
      </c>
      <c r="D13" s="281">
        <v>1</v>
      </c>
      <c r="E13" s="83" t="s">
        <v>602</v>
      </c>
      <c r="F13" s="83" t="s">
        <v>185</v>
      </c>
      <c r="G13" s="83"/>
      <c r="H13" s="111"/>
      <c r="I13" s="111"/>
      <c r="J13" s="80"/>
      <c r="K13" s="126"/>
    </row>
    <row r="14" spans="1:11" s="107" customFormat="1" ht="34.15" customHeight="1">
      <c r="B14" s="125" t="s">
        <v>182</v>
      </c>
      <c r="C14" s="83" t="s">
        <v>599</v>
      </c>
      <c r="D14" s="281">
        <v>1</v>
      </c>
      <c r="E14" s="83" t="s">
        <v>603</v>
      </c>
      <c r="F14" s="83" t="s">
        <v>185</v>
      </c>
      <c r="G14" s="83"/>
      <c r="H14" s="111"/>
      <c r="I14" s="111"/>
      <c r="J14" s="85"/>
      <c r="K14" s="126"/>
    </row>
    <row r="15" spans="1:11" s="107" customFormat="1" ht="34.15" customHeight="1">
      <c r="B15" s="125" t="s">
        <v>182</v>
      </c>
      <c r="C15" s="83" t="s">
        <v>600</v>
      </c>
      <c r="D15" s="281">
        <v>1</v>
      </c>
      <c r="E15" s="83" t="s">
        <v>604</v>
      </c>
      <c r="F15" s="83" t="s">
        <v>185</v>
      </c>
      <c r="G15" s="83"/>
      <c r="H15" s="111"/>
      <c r="I15" s="111"/>
      <c r="J15" s="85"/>
      <c r="K15" s="126"/>
    </row>
    <row r="16" spans="1:11" s="107" customFormat="1" ht="34.15" customHeight="1">
      <c r="B16" s="125" t="s">
        <v>182</v>
      </c>
      <c r="C16" s="83" t="s">
        <v>621</v>
      </c>
      <c r="D16" s="281">
        <v>1</v>
      </c>
      <c r="E16" s="83" t="s">
        <v>605</v>
      </c>
      <c r="F16" s="83" t="s">
        <v>185</v>
      </c>
      <c r="G16" s="83"/>
      <c r="H16" s="111"/>
      <c r="I16" s="111"/>
      <c r="J16" s="87"/>
      <c r="K16" s="126"/>
    </row>
    <row r="17" spans="2:11" s="106" customFormat="1" ht="13.15" customHeight="1">
      <c r="B17" s="127" t="s">
        <v>186</v>
      </c>
      <c r="C17" s="80"/>
      <c r="D17" s="92"/>
      <c r="E17" s="80"/>
      <c r="F17" s="80"/>
      <c r="G17" s="80"/>
      <c r="H17" s="80"/>
      <c r="I17" s="189"/>
      <c r="J17" s="189"/>
      <c r="K17" s="124"/>
    </row>
    <row r="18" spans="2:11" s="107" customFormat="1" ht="37.9" customHeight="1">
      <c r="B18" s="125" t="s">
        <v>187</v>
      </c>
      <c r="C18" s="83" t="s">
        <v>188</v>
      </c>
      <c r="D18" s="281">
        <v>1</v>
      </c>
      <c r="E18" s="83"/>
      <c r="F18" s="83" t="s">
        <v>189</v>
      </c>
      <c r="G18" s="83"/>
      <c r="H18" s="85"/>
      <c r="I18" s="190"/>
      <c r="J18" s="321"/>
      <c r="K18" s="126"/>
    </row>
    <row r="19" spans="2:11" s="106" customFormat="1" ht="15.4" customHeight="1">
      <c r="B19" s="127" t="s">
        <v>190</v>
      </c>
      <c r="C19" s="80"/>
      <c r="D19" s="92">
        <v>1</v>
      </c>
      <c r="E19" s="80"/>
      <c r="F19" s="80"/>
      <c r="G19" s="80"/>
      <c r="H19" s="80"/>
      <c r="I19" s="189"/>
      <c r="J19" s="88"/>
      <c r="K19" s="124"/>
    </row>
    <row r="20" spans="2:11" s="107" customFormat="1" ht="22.5">
      <c r="B20" s="125" t="s">
        <v>191</v>
      </c>
      <c r="C20" s="86" t="s">
        <v>192</v>
      </c>
      <c r="D20" s="323"/>
      <c r="E20" s="86" t="s">
        <v>193</v>
      </c>
      <c r="F20" s="86" t="s">
        <v>194</v>
      </c>
      <c r="G20" s="83"/>
      <c r="H20" s="85"/>
      <c r="I20" s="190"/>
      <c r="J20" s="321"/>
      <c r="K20" s="126"/>
    </row>
    <row r="21" spans="2:11" s="107" customFormat="1" ht="22.5">
      <c r="B21" s="125" t="s">
        <v>195</v>
      </c>
      <c r="C21" s="86" t="s">
        <v>196</v>
      </c>
      <c r="D21" s="323"/>
      <c r="E21" s="86" t="s">
        <v>193</v>
      </c>
      <c r="F21" s="86" t="s">
        <v>194</v>
      </c>
      <c r="G21" s="83"/>
      <c r="H21" s="85"/>
      <c r="I21" s="190"/>
      <c r="J21" s="321"/>
      <c r="K21" s="126"/>
    </row>
    <row r="22" spans="2:11" s="107" customFormat="1">
      <c r="B22" s="125" t="s">
        <v>197</v>
      </c>
      <c r="C22" s="83" t="s">
        <v>198</v>
      </c>
      <c r="D22" s="281"/>
      <c r="E22" s="83"/>
      <c r="F22" s="83"/>
      <c r="G22" s="83"/>
      <c r="H22" s="87"/>
      <c r="I22" s="191"/>
      <c r="J22" s="321"/>
      <c r="K22" s="126"/>
    </row>
    <row r="23" spans="2:11" s="106" customFormat="1" ht="17.649999999999999" customHeight="1">
      <c r="B23" s="127" t="s">
        <v>396</v>
      </c>
      <c r="C23" s="80"/>
      <c r="D23" s="92"/>
      <c r="E23" s="80"/>
      <c r="F23" s="80"/>
      <c r="G23" s="80"/>
      <c r="H23" s="80"/>
      <c r="I23" s="189"/>
      <c r="J23" s="321"/>
      <c r="K23" s="124"/>
    </row>
    <row r="24" spans="2:11" s="103" customFormat="1" ht="33.75">
      <c r="B24" s="129" t="s">
        <v>219</v>
      </c>
      <c r="C24" s="320" t="s">
        <v>220</v>
      </c>
      <c r="D24" s="323">
        <v>1</v>
      </c>
      <c r="E24" s="320"/>
      <c r="F24" s="320" t="s">
        <v>221</v>
      </c>
      <c r="G24" s="90" t="s">
        <v>213</v>
      </c>
      <c r="H24" s="329" t="s">
        <v>222</v>
      </c>
      <c r="I24" s="193"/>
      <c r="J24" s="321"/>
      <c r="K24" s="137"/>
    </row>
    <row r="25" spans="2:11" s="106" customFormat="1" ht="23.25" customHeight="1">
      <c r="B25" s="128" t="s">
        <v>199</v>
      </c>
      <c r="C25" s="80"/>
      <c r="D25" s="92"/>
      <c r="E25" s="80"/>
      <c r="F25" s="80"/>
      <c r="G25" s="80"/>
      <c r="H25" s="88"/>
      <c r="I25" s="192"/>
      <c r="J25" s="321"/>
      <c r="K25" s="124"/>
    </row>
    <row r="26" spans="2:11" s="103" customFormat="1">
      <c r="B26" s="129" t="s">
        <v>200</v>
      </c>
      <c r="C26" s="86"/>
      <c r="D26" s="323"/>
      <c r="E26" s="86"/>
      <c r="F26" s="86"/>
      <c r="G26" s="86"/>
      <c r="H26" s="321"/>
      <c r="I26" s="190"/>
      <c r="J26" s="93"/>
      <c r="K26" s="137"/>
    </row>
    <row r="27" spans="2:11" s="103" customFormat="1">
      <c r="B27" s="129" t="s">
        <v>201</v>
      </c>
      <c r="C27" s="86"/>
      <c r="D27" s="323"/>
      <c r="E27" s="86"/>
      <c r="F27" s="86"/>
      <c r="G27" s="86"/>
      <c r="H27" s="321"/>
      <c r="I27" s="190"/>
      <c r="J27" s="97"/>
      <c r="K27" s="137"/>
    </row>
    <row r="28" spans="2:11" s="103" customFormat="1">
      <c r="B28" s="129" t="s">
        <v>202</v>
      </c>
      <c r="C28" s="86"/>
      <c r="D28" s="323"/>
      <c r="E28" s="86"/>
      <c r="F28" s="86"/>
      <c r="G28" s="86"/>
      <c r="H28" s="321"/>
      <c r="I28" s="190"/>
      <c r="J28" s="97"/>
      <c r="K28" s="137"/>
    </row>
    <row r="29" spans="2:11" s="103" customFormat="1">
      <c r="B29" s="129" t="s">
        <v>203</v>
      </c>
      <c r="C29" s="86"/>
      <c r="D29" s="323"/>
      <c r="E29" s="86"/>
      <c r="F29" s="86"/>
      <c r="G29" s="86"/>
      <c r="H29" s="321"/>
      <c r="I29" s="190"/>
      <c r="J29" s="97"/>
      <c r="K29" s="137"/>
    </row>
    <row r="30" spans="2:11" s="103" customFormat="1" ht="56.25">
      <c r="B30" s="129" t="s">
        <v>204</v>
      </c>
      <c r="C30" s="320" t="s">
        <v>575</v>
      </c>
      <c r="D30" s="323"/>
      <c r="E30" s="320" t="s">
        <v>206</v>
      </c>
      <c r="F30" s="323" t="s">
        <v>574</v>
      </c>
      <c r="G30" s="82"/>
      <c r="H30" s="321"/>
      <c r="I30" s="190"/>
      <c r="J30" s="97"/>
      <c r="K30" s="137"/>
    </row>
    <row r="31" spans="2:11" s="103" customFormat="1" ht="56.25">
      <c r="B31" s="129" t="s">
        <v>204</v>
      </c>
      <c r="C31" s="320" t="s">
        <v>576</v>
      </c>
      <c r="D31" s="323"/>
      <c r="E31" s="320" t="s">
        <v>206</v>
      </c>
      <c r="F31" s="323" t="s">
        <v>574</v>
      </c>
      <c r="G31" s="82"/>
      <c r="H31" s="321"/>
      <c r="I31" s="190"/>
      <c r="J31" s="97"/>
      <c r="K31" s="137"/>
    </row>
    <row r="32" spans="2:11" s="106" customFormat="1" ht="32.25" customHeight="1">
      <c r="B32" s="127" t="s">
        <v>223</v>
      </c>
      <c r="C32" s="92"/>
      <c r="D32" s="92"/>
      <c r="E32" s="92"/>
      <c r="F32" s="92"/>
      <c r="G32" s="92"/>
      <c r="H32" s="93"/>
      <c r="I32" s="194"/>
      <c r="J32" s="97"/>
      <c r="K32" s="130"/>
    </row>
    <row r="33" spans="1:11" s="103" customFormat="1">
      <c r="B33" s="129" t="s">
        <v>224</v>
      </c>
      <c r="C33" s="94" t="s">
        <v>225</v>
      </c>
      <c r="D33" s="282"/>
      <c r="E33" s="94"/>
      <c r="F33" s="94"/>
      <c r="G33" s="95" t="s">
        <v>226</v>
      </c>
      <c r="H33" s="96" t="s">
        <v>227</v>
      </c>
      <c r="I33" s="193"/>
      <c r="J33" s="97"/>
      <c r="K33" s="131"/>
    </row>
    <row r="34" spans="1:11" s="103" customFormat="1">
      <c r="B34" s="129" t="s">
        <v>562</v>
      </c>
      <c r="C34" s="94" t="s">
        <v>225</v>
      </c>
      <c r="D34" s="282"/>
      <c r="E34" s="94"/>
      <c r="F34" s="94"/>
      <c r="G34" s="95" t="s">
        <v>226</v>
      </c>
      <c r="H34" s="96" t="s">
        <v>564</v>
      </c>
      <c r="I34" s="193"/>
      <c r="J34" s="196"/>
      <c r="K34" s="131"/>
    </row>
    <row r="35" spans="1:11" s="103" customFormat="1">
      <c r="B35" s="129" t="s">
        <v>228</v>
      </c>
      <c r="C35" s="94" t="s">
        <v>225</v>
      </c>
      <c r="D35" s="282"/>
      <c r="E35" s="94"/>
      <c r="F35" s="94"/>
      <c r="G35" s="95" t="s">
        <v>226</v>
      </c>
      <c r="H35" s="98" t="s">
        <v>229</v>
      </c>
      <c r="I35" s="193"/>
      <c r="J35" s="196"/>
      <c r="K35" s="131"/>
    </row>
    <row r="36" spans="1:11" s="89" customFormat="1" ht="15">
      <c r="A36"/>
      <c r="B36" s="129" t="s">
        <v>230</v>
      </c>
      <c r="C36" s="94" t="s">
        <v>225</v>
      </c>
      <c r="D36" s="282"/>
      <c r="E36" s="94"/>
      <c r="F36" s="94"/>
      <c r="G36" s="95" t="s">
        <v>226</v>
      </c>
      <c r="H36" s="98" t="s">
        <v>364</v>
      </c>
      <c r="I36" s="97"/>
      <c r="J36" s="93"/>
      <c r="K36" s="131"/>
    </row>
    <row r="37" spans="1:11" s="89" customFormat="1" ht="15">
      <c r="A37"/>
      <c r="B37" s="129" t="s">
        <v>563</v>
      </c>
      <c r="C37" s="94" t="s">
        <v>225</v>
      </c>
      <c r="D37" s="282"/>
      <c r="E37" s="94"/>
      <c r="F37" s="94"/>
      <c r="G37" s="95" t="s">
        <v>226</v>
      </c>
      <c r="H37" s="98" t="s">
        <v>565</v>
      </c>
      <c r="I37" s="97"/>
      <c r="J37" s="321"/>
      <c r="K37" s="131"/>
    </row>
    <row r="38" spans="1:11" s="89" customFormat="1" ht="15">
      <c r="A38"/>
      <c r="B38" s="129" t="s">
        <v>231</v>
      </c>
      <c r="C38" s="94" t="s">
        <v>225</v>
      </c>
      <c r="D38" s="282"/>
      <c r="E38" s="94"/>
      <c r="F38" s="94"/>
      <c r="G38" s="95" t="s">
        <v>226</v>
      </c>
      <c r="H38" s="98" t="s">
        <v>365</v>
      </c>
      <c r="I38" s="97"/>
      <c r="J38" s="321"/>
      <c r="K38" s="131"/>
    </row>
    <row r="39" spans="1:11" s="103" customFormat="1">
      <c r="B39" s="129" t="s">
        <v>232</v>
      </c>
      <c r="C39" s="94" t="s">
        <v>225</v>
      </c>
      <c r="D39" s="282"/>
      <c r="E39" s="94"/>
      <c r="F39" s="94"/>
      <c r="G39" s="95" t="s">
        <v>226</v>
      </c>
      <c r="H39" s="98" t="s">
        <v>233</v>
      </c>
      <c r="I39" s="195"/>
      <c r="J39" s="321"/>
      <c r="K39" s="131"/>
    </row>
    <row r="40" spans="1:11" s="103" customFormat="1">
      <c r="B40" s="129" t="s">
        <v>234</v>
      </c>
      <c r="C40" s="94" t="s">
        <v>225</v>
      </c>
      <c r="D40" s="282"/>
      <c r="E40" s="94"/>
      <c r="F40" s="94"/>
      <c r="G40" s="95" t="s">
        <v>226</v>
      </c>
      <c r="H40" s="98" t="s">
        <v>235</v>
      </c>
      <c r="I40" s="195"/>
      <c r="J40" s="85"/>
      <c r="K40" s="131"/>
    </row>
    <row r="41" spans="1:11" s="103" customFormat="1">
      <c r="B41" s="129" t="s">
        <v>566</v>
      </c>
      <c r="C41" s="94" t="s">
        <v>225</v>
      </c>
      <c r="D41" s="282"/>
      <c r="E41" s="94"/>
      <c r="F41" s="94"/>
      <c r="G41" s="95" t="s">
        <v>226</v>
      </c>
      <c r="H41" s="98" t="s">
        <v>567</v>
      </c>
      <c r="I41" s="195"/>
      <c r="J41" s="85"/>
      <c r="K41" s="131"/>
    </row>
    <row r="42" spans="1:11" s="103" customFormat="1">
      <c r="B42" s="129" t="s">
        <v>568</v>
      </c>
      <c r="C42" s="94" t="s">
        <v>225</v>
      </c>
      <c r="D42" s="282"/>
      <c r="E42" s="94"/>
      <c r="F42" s="94"/>
      <c r="G42" s="95" t="s">
        <v>226</v>
      </c>
      <c r="H42" s="98" t="s">
        <v>570</v>
      </c>
      <c r="I42" s="196"/>
      <c r="J42" s="102"/>
      <c r="K42" s="131"/>
    </row>
    <row r="43" spans="1:11" s="103" customFormat="1" ht="15">
      <c r="B43" s="129" t="s">
        <v>569</v>
      </c>
      <c r="C43" s="94" t="s">
        <v>225</v>
      </c>
      <c r="D43" s="282"/>
      <c r="E43" s="94"/>
      <c r="F43" s="94"/>
      <c r="G43" s="95" t="s">
        <v>226</v>
      </c>
      <c r="H43" s="98" t="s">
        <v>571</v>
      </c>
      <c r="I43" s="196"/>
      <c r="J43" s="28"/>
      <c r="K43" s="131"/>
    </row>
    <row r="44" spans="1:11" s="103" customFormat="1">
      <c r="B44" s="129" t="s">
        <v>572</v>
      </c>
      <c r="C44" s="94" t="s">
        <v>225</v>
      </c>
      <c r="D44" s="282"/>
      <c r="E44" s="94"/>
      <c r="F44" s="94"/>
      <c r="G44" s="95" t="s">
        <v>226</v>
      </c>
      <c r="H44" s="98" t="s">
        <v>573</v>
      </c>
      <c r="I44" s="196"/>
      <c r="J44" s="85"/>
      <c r="K44" s="131"/>
    </row>
    <row r="45" spans="1:11" s="103" customFormat="1">
      <c r="B45" s="129" t="s">
        <v>353</v>
      </c>
      <c r="C45" s="94" t="s">
        <v>225</v>
      </c>
      <c r="D45" s="282"/>
      <c r="E45" s="94"/>
      <c r="F45" s="94"/>
      <c r="G45" s="95" t="s">
        <v>226</v>
      </c>
      <c r="H45" s="98" t="s">
        <v>355</v>
      </c>
      <c r="I45" s="196"/>
      <c r="J45" s="114"/>
      <c r="K45" s="131"/>
    </row>
    <row r="46" spans="1:11" s="103" customFormat="1">
      <c r="B46" s="129" t="s">
        <v>354</v>
      </c>
      <c r="C46" s="94" t="s">
        <v>225</v>
      </c>
      <c r="D46" s="282"/>
      <c r="E46" s="94"/>
      <c r="F46" s="94"/>
      <c r="G46" s="95" t="s">
        <v>226</v>
      </c>
      <c r="H46" s="98" t="s">
        <v>356</v>
      </c>
      <c r="I46" s="196"/>
      <c r="J46" s="114"/>
      <c r="K46" s="131"/>
    </row>
    <row r="47" spans="1:11" s="106" customFormat="1" ht="36.75" customHeight="1">
      <c r="B47" s="128" t="s">
        <v>238</v>
      </c>
      <c r="C47" s="92"/>
      <c r="D47" s="92"/>
      <c r="E47" s="92"/>
      <c r="F47" s="92"/>
      <c r="G47" s="92"/>
      <c r="H47" s="93"/>
      <c r="I47" s="197"/>
      <c r="J47" s="115"/>
      <c r="K47" s="130"/>
    </row>
    <row r="48" spans="1:11" s="103" customFormat="1" ht="33.75">
      <c r="B48" s="587" t="s">
        <v>279</v>
      </c>
      <c r="C48" s="585" t="s">
        <v>299</v>
      </c>
      <c r="D48" s="323">
        <v>1</v>
      </c>
      <c r="E48" s="320" t="s">
        <v>211</v>
      </c>
      <c r="F48" s="323" t="s">
        <v>212</v>
      </c>
      <c r="G48" s="112" t="s">
        <v>213</v>
      </c>
      <c r="H48" s="113" t="s">
        <v>525</v>
      </c>
      <c r="I48" s="190"/>
      <c r="J48" s="115"/>
      <c r="K48" s="137"/>
    </row>
    <row r="49" spans="2:11" s="103" customFormat="1" ht="33.75">
      <c r="B49" s="587"/>
      <c r="C49" s="585"/>
      <c r="D49" s="323"/>
      <c r="E49" s="320" t="s">
        <v>211</v>
      </c>
      <c r="F49" s="323" t="s">
        <v>214</v>
      </c>
      <c r="G49" s="112" t="s">
        <v>213</v>
      </c>
      <c r="H49" s="113" t="s">
        <v>525</v>
      </c>
      <c r="I49" s="190"/>
      <c r="J49" s="114"/>
      <c r="K49" s="137"/>
    </row>
    <row r="50" spans="2:11" s="103" customFormat="1" ht="33.75">
      <c r="B50" s="587" t="s">
        <v>281</v>
      </c>
      <c r="C50" s="585" t="s">
        <v>300</v>
      </c>
      <c r="D50" s="323">
        <v>1</v>
      </c>
      <c r="E50" s="320"/>
      <c r="F50" s="323" t="s">
        <v>212</v>
      </c>
      <c r="G50" s="112" t="s">
        <v>213</v>
      </c>
      <c r="H50" s="113" t="s">
        <v>526</v>
      </c>
      <c r="I50" s="190"/>
      <c r="J50" s="326"/>
      <c r="K50" s="137"/>
    </row>
    <row r="51" spans="2:11" s="103" customFormat="1" ht="33.75">
      <c r="B51" s="587"/>
      <c r="C51" s="585"/>
      <c r="D51" s="323"/>
      <c r="E51" s="320"/>
      <c r="F51" s="323" t="s">
        <v>214</v>
      </c>
      <c r="G51" s="112" t="s">
        <v>213</v>
      </c>
      <c r="H51" s="113" t="s">
        <v>526</v>
      </c>
      <c r="I51" s="190"/>
      <c r="J51" s="326"/>
      <c r="K51" s="137"/>
    </row>
    <row r="52" spans="2:11" s="103" customFormat="1" ht="45">
      <c r="B52" s="129" t="s">
        <v>577</v>
      </c>
      <c r="C52" s="320" t="s">
        <v>216</v>
      </c>
      <c r="D52" s="323">
        <v>1</v>
      </c>
      <c r="E52" s="320" t="s">
        <v>217</v>
      </c>
      <c r="F52" s="320" t="s">
        <v>218</v>
      </c>
      <c r="G52" s="90" t="s">
        <v>213</v>
      </c>
      <c r="H52" s="91" t="s">
        <v>527</v>
      </c>
      <c r="I52" s="187"/>
      <c r="J52" s="327"/>
      <c r="K52" s="137"/>
    </row>
    <row r="53" spans="2:11" s="103" customFormat="1" ht="45">
      <c r="B53" s="129" t="s">
        <v>578</v>
      </c>
      <c r="C53" s="320" t="s">
        <v>216</v>
      </c>
      <c r="D53" s="323">
        <v>1</v>
      </c>
      <c r="E53" s="320" t="s">
        <v>217</v>
      </c>
      <c r="F53" s="320" t="s">
        <v>218</v>
      </c>
      <c r="G53" s="90" t="s">
        <v>213</v>
      </c>
      <c r="H53" s="91" t="s">
        <v>528</v>
      </c>
      <c r="I53" s="187"/>
      <c r="J53" s="327"/>
      <c r="K53" s="137"/>
    </row>
    <row r="54" spans="2:11" s="103" customFormat="1" ht="22.5">
      <c r="B54" s="129" t="s">
        <v>397</v>
      </c>
      <c r="C54" s="320" t="s">
        <v>216</v>
      </c>
      <c r="D54" s="323">
        <v>1</v>
      </c>
      <c r="E54" s="320" t="s">
        <v>217</v>
      </c>
      <c r="F54" s="320" t="s">
        <v>218</v>
      </c>
      <c r="G54" s="90" t="s">
        <v>213</v>
      </c>
      <c r="H54" s="91" t="s">
        <v>529</v>
      </c>
      <c r="I54" s="187"/>
      <c r="J54" s="327"/>
      <c r="K54" s="137"/>
    </row>
    <row r="55" spans="2:11" s="103" customFormat="1" ht="22.5">
      <c r="B55" s="129" t="s">
        <v>398</v>
      </c>
      <c r="C55" s="320" t="s">
        <v>399</v>
      </c>
      <c r="D55" s="323">
        <v>1</v>
      </c>
      <c r="E55" s="320"/>
      <c r="F55" s="320"/>
      <c r="G55" s="90"/>
      <c r="H55" s="91"/>
      <c r="I55" s="187"/>
      <c r="J55" s="85"/>
      <c r="K55" s="288"/>
    </row>
    <row r="56" spans="2:11" s="103" customFormat="1" ht="33.75">
      <c r="B56" s="319" t="s">
        <v>258</v>
      </c>
      <c r="C56" s="86" t="s">
        <v>259</v>
      </c>
      <c r="D56" s="283">
        <v>1</v>
      </c>
      <c r="E56" s="219" t="s">
        <v>373</v>
      </c>
      <c r="F56" s="86"/>
      <c r="G56" s="90" t="s">
        <v>213</v>
      </c>
      <c r="H56" s="86" t="s">
        <v>530</v>
      </c>
      <c r="I56" s="190"/>
      <c r="J56" s="85"/>
      <c r="K56" s="131"/>
    </row>
    <row r="57" spans="2:11" s="103" customFormat="1" ht="33.75">
      <c r="B57" s="319" t="s">
        <v>404</v>
      </c>
      <c r="C57" s="86" t="s">
        <v>292</v>
      </c>
      <c r="D57" s="287">
        <v>1</v>
      </c>
      <c r="E57" s="219" t="s">
        <v>372</v>
      </c>
      <c r="F57" s="86"/>
      <c r="G57" s="90" t="s">
        <v>213</v>
      </c>
      <c r="H57" s="86" t="s">
        <v>531</v>
      </c>
      <c r="I57" s="190"/>
      <c r="J57" s="190"/>
      <c r="K57" s="131"/>
    </row>
    <row r="58" spans="2:11" s="103" customFormat="1" ht="45">
      <c r="B58" s="319" t="s">
        <v>405</v>
      </c>
      <c r="C58" s="86" t="s">
        <v>293</v>
      </c>
      <c r="D58" s="323">
        <v>1</v>
      </c>
      <c r="E58" s="86"/>
      <c r="F58" s="86"/>
      <c r="G58" s="90" t="s">
        <v>213</v>
      </c>
      <c r="H58" s="86" t="s">
        <v>532</v>
      </c>
      <c r="I58" s="198"/>
      <c r="J58" s="323"/>
      <c r="K58" s="138"/>
    </row>
    <row r="59" spans="2:11" s="103" customFormat="1" ht="33.75">
      <c r="B59" s="319" t="s">
        <v>546</v>
      </c>
      <c r="C59" s="86"/>
      <c r="D59" s="283">
        <v>1</v>
      </c>
      <c r="E59" s="219" t="s">
        <v>372</v>
      </c>
      <c r="F59" s="86"/>
      <c r="G59" s="90" t="s">
        <v>213</v>
      </c>
      <c r="H59" s="86" t="s">
        <v>547</v>
      </c>
      <c r="I59" s="190"/>
      <c r="J59" s="323"/>
      <c r="K59" s="131"/>
    </row>
    <row r="60" spans="2:11" s="103" customFormat="1" ht="33.75">
      <c r="B60" s="129" t="s">
        <v>545</v>
      </c>
      <c r="C60" s="86" t="s">
        <v>548</v>
      </c>
      <c r="D60" s="323">
        <v>2</v>
      </c>
      <c r="E60" s="323"/>
      <c r="F60" s="86" t="s">
        <v>549</v>
      </c>
      <c r="G60" s="90" t="s">
        <v>213</v>
      </c>
      <c r="H60" s="86" t="s">
        <v>537</v>
      </c>
      <c r="I60" s="320"/>
      <c r="J60" s="321"/>
      <c r="K60" s="133"/>
    </row>
    <row r="61" spans="2:11" s="103" customFormat="1" ht="33.75">
      <c r="B61" s="129" t="s">
        <v>551</v>
      </c>
      <c r="C61" s="86" t="s">
        <v>555</v>
      </c>
      <c r="D61" s="323">
        <v>1</v>
      </c>
      <c r="E61" s="323"/>
      <c r="F61" s="86" t="s">
        <v>298</v>
      </c>
      <c r="G61" s="90" t="s">
        <v>213</v>
      </c>
      <c r="H61" s="86" t="s">
        <v>553</v>
      </c>
      <c r="I61" s="190"/>
      <c r="J61" s="321"/>
      <c r="K61" s="133"/>
    </row>
    <row r="62" spans="2:11" s="103" customFormat="1" ht="33.75">
      <c r="B62" s="129" t="s">
        <v>552</v>
      </c>
      <c r="C62" s="86" t="s">
        <v>555</v>
      </c>
      <c r="D62" s="323">
        <v>1</v>
      </c>
      <c r="E62" s="323"/>
      <c r="F62" s="86" t="s">
        <v>554</v>
      </c>
      <c r="G62" s="90" t="s">
        <v>213</v>
      </c>
      <c r="H62" s="86" t="s">
        <v>556</v>
      </c>
      <c r="I62" s="190"/>
      <c r="J62" s="321"/>
      <c r="K62" s="133"/>
    </row>
    <row r="63" spans="2:11" s="103" customFormat="1" ht="33.75">
      <c r="B63" s="319" t="s">
        <v>261</v>
      </c>
      <c r="C63" s="86"/>
      <c r="D63" s="323">
        <v>1</v>
      </c>
      <c r="E63" s="86"/>
      <c r="F63" s="86"/>
      <c r="G63" s="90" t="s">
        <v>213</v>
      </c>
      <c r="H63" s="86" t="s">
        <v>533</v>
      </c>
      <c r="I63" s="195"/>
      <c r="J63" s="321"/>
      <c r="K63" s="133"/>
    </row>
    <row r="64" spans="2:11" s="103" customFormat="1" ht="33.75">
      <c r="B64" s="319" t="s">
        <v>263</v>
      </c>
      <c r="C64" s="86" t="s">
        <v>264</v>
      </c>
      <c r="D64" s="287">
        <v>1</v>
      </c>
      <c r="E64" s="219" t="s">
        <v>371</v>
      </c>
      <c r="F64" s="86"/>
      <c r="G64" s="90" t="s">
        <v>213</v>
      </c>
      <c r="H64" s="91" t="s">
        <v>534</v>
      </c>
      <c r="I64" s="190"/>
      <c r="J64" s="323"/>
      <c r="K64" s="133"/>
    </row>
    <row r="65" spans="1:11" s="103" customFormat="1" ht="22.5">
      <c r="B65" s="129" t="s">
        <v>282</v>
      </c>
      <c r="C65" s="86" t="s">
        <v>240</v>
      </c>
      <c r="D65" s="323">
        <v>1</v>
      </c>
      <c r="E65" s="86"/>
      <c r="F65" s="116" t="s">
        <v>283</v>
      </c>
      <c r="G65" s="86"/>
      <c r="H65" s="321"/>
      <c r="I65" s="195"/>
      <c r="J65" s="323"/>
      <c r="K65" s="131"/>
    </row>
    <row r="66" spans="1:11" s="103" customFormat="1" ht="45">
      <c r="B66" s="129" t="s">
        <v>284</v>
      </c>
      <c r="C66" s="86" t="s">
        <v>285</v>
      </c>
      <c r="D66" s="283">
        <v>1</v>
      </c>
      <c r="E66" s="219" t="s">
        <v>374</v>
      </c>
      <c r="F66" s="109" t="s">
        <v>286</v>
      </c>
      <c r="G66" s="90" t="s">
        <v>213</v>
      </c>
      <c r="H66" s="100" t="s">
        <v>535</v>
      </c>
      <c r="I66" s="196"/>
      <c r="J66" s="330"/>
      <c r="K66" s="131"/>
    </row>
    <row r="67" spans="1:11" s="103" customFormat="1" ht="86.25" customHeight="1">
      <c r="B67" s="129" t="s">
        <v>287</v>
      </c>
      <c r="C67" s="86" t="s">
        <v>288</v>
      </c>
      <c r="D67" s="323">
        <v>1</v>
      </c>
      <c r="E67" s="86"/>
      <c r="F67" s="109" t="s">
        <v>286</v>
      </c>
      <c r="G67" s="90" t="s">
        <v>213</v>
      </c>
      <c r="H67" s="86" t="s">
        <v>536</v>
      </c>
      <c r="I67" s="196"/>
      <c r="J67" s="330"/>
      <c r="K67" s="131"/>
    </row>
    <row r="68" spans="1:11" s="103" customFormat="1" ht="22.5">
      <c r="B68" s="129" t="s">
        <v>289</v>
      </c>
      <c r="C68" s="86" t="s">
        <v>290</v>
      </c>
      <c r="D68" s="323">
        <v>1</v>
      </c>
      <c r="E68" s="86"/>
      <c r="F68" s="109" t="s">
        <v>291</v>
      </c>
      <c r="G68" s="90"/>
      <c r="H68" s="86"/>
      <c r="I68" s="196"/>
      <c r="J68" s="330"/>
      <c r="K68" s="131"/>
    </row>
    <row r="69" spans="1:11" s="89" customFormat="1" ht="33.75">
      <c r="A69"/>
      <c r="B69" s="129" t="s">
        <v>301</v>
      </c>
      <c r="C69" s="86" t="s">
        <v>246</v>
      </c>
      <c r="D69" s="323">
        <v>1</v>
      </c>
      <c r="E69" s="86"/>
      <c r="F69" s="211" t="s">
        <v>366</v>
      </c>
      <c r="G69" s="90" t="s">
        <v>213</v>
      </c>
      <c r="H69" s="86" t="s">
        <v>536</v>
      </c>
      <c r="I69" s="331"/>
      <c r="J69" s="330"/>
      <c r="K69" s="126"/>
    </row>
    <row r="70" spans="1:11" s="89" customFormat="1" ht="33.75">
      <c r="A70"/>
      <c r="B70" s="129" t="s">
        <v>367</v>
      </c>
      <c r="C70" s="86" t="s">
        <v>246</v>
      </c>
      <c r="D70" s="332">
        <v>1</v>
      </c>
      <c r="E70" s="333"/>
      <c r="F70" s="212" t="s">
        <v>366</v>
      </c>
      <c r="G70" s="90" t="s">
        <v>213</v>
      </c>
      <c r="H70" s="86" t="s">
        <v>535</v>
      </c>
      <c r="I70" s="331"/>
      <c r="J70" s="330"/>
      <c r="K70" s="126"/>
    </row>
    <row r="71" spans="1:11" s="89" customFormat="1" ht="35.25" customHeight="1">
      <c r="A71"/>
      <c r="B71" s="319" t="s">
        <v>360</v>
      </c>
      <c r="C71" s="86" t="s">
        <v>370</v>
      </c>
      <c r="D71" s="323">
        <v>1</v>
      </c>
      <c r="E71" s="86"/>
      <c r="F71" s="101"/>
      <c r="G71" s="112" t="s">
        <v>213</v>
      </c>
      <c r="H71" s="86" t="s">
        <v>520</v>
      </c>
      <c r="I71" s="114"/>
      <c r="J71" s="330"/>
      <c r="K71" s="132"/>
    </row>
    <row r="72" spans="1:11" s="89" customFormat="1" ht="23.25">
      <c r="A72"/>
      <c r="B72" s="129" t="s">
        <v>362</v>
      </c>
      <c r="C72" s="86" t="s">
        <v>246</v>
      </c>
      <c r="D72" s="323">
        <v>1</v>
      </c>
      <c r="E72" s="86"/>
      <c r="F72" s="116" t="s">
        <v>363</v>
      </c>
      <c r="G72" s="112" t="s">
        <v>213</v>
      </c>
      <c r="H72" s="86" t="s">
        <v>521</v>
      </c>
      <c r="I72" s="115"/>
      <c r="J72" s="330"/>
      <c r="K72" s="126"/>
    </row>
    <row r="73" spans="1:11" s="103" customFormat="1">
      <c r="B73" s="319" t="s">
        <v>265</v>
      </c>
      <c r="C73" s="86" t="s">
        <v>266</v>
      </c>
      <c r="D73" s="323">
        <v>1</v>
      </c>
      <c r="E73" s="86"/>
      <c r="F73" s="86"/>
      <c r="G73" s="90"/>
      <c r="H73" s="91"/>
      <c r="I73" s="190"/>
      <c r="J73" s="330"/>
      <c r="K73" s="133"/>
    </row>
    <row r="74" spans="1:11" s="103" customFormat="1">
      <c r="B74" s="319" t="s">
        <v>267</v>
      </c>
      <c r="C74" s="86" t="s">
        <v>268</v>
      </c>
      <c r="D74" s="323">
        <v>1</v>
      </c>
      <c r="E74" s="86"/>
      <c r="F74" s="86"/>
      <c r="G74" s="90"/>
      <c r="H74" s="91"/>
      <c r="I74" s="320"/>
      <c r="J74" s="330"/>
      <c r="K74" s="133"/>
    </row>
    <row r="75" spans="1:11" s="103" customFormat="1" ht="33.75">
      <c r="B75" s="319" t="s">
        <v>584</v>
      </c>
      <c r="C75" s="86" t="s">
        <v>585</v>
      </c>
      <c r="D75" s="323">
        <v>1</v>
      </c>
      <c r="E75" s="86"/>
      <c r="F75" s="86" t="s">
        <v>586</v>
      </c>
      <c r="G75" s="90" t="s">
        <v>213</v>
      </c>
      <c r="H75" s="86" t="s">
        <v>587</v>
      </c>
      <c r="I75" s="190"/>
      <c r="J75" s="330"/>
      <c r="K75" s="133"/>
    </row>
    <row r="76" spans="1:11" s="103" customFormat="1" ht="33.75">
      <c r="B76" s="319" t="s">
        <v>410</v>
      </c>
      <c r="C76" s="86" t="s">
        <v>411</v>
      </c>
      <c r="D76" s="323">
        <v>1</v>
      </c>
      <c r="E76" s="86"/>
      <c r="F76" s="86" t="s">
        <v>560</v>
      </c>
      <c r="G76" s="90" t="s">
        <v>213</v>
      </c>
      <c r="H76" s="86" t="s">
        <v>561</v>
      </c>
      <c r="I76" s="190"/>
      <c r="J76" s="330"/>
      <c r="K76" s="133"/>
    </row>
    <row r="77" spans="1:11" s="103" customFormat="1" ht="33.75">
      <c r="B77" s="319" t="s">
        <v>413</v>
      </c>
      <c r="C77" s="86" t="s">
        <v>414</v>
      </c>
      <c r="D77" s="323">
        <v>1</v>
      </c>
      <c r="E77" s="86"/>
      <c r="F77" s="86" t="s">
        <v>559</v>
      </c>
      <c r="G77" s="90" t="s">
        <v>213</v>
      </c>
      <c r="H77" s="86" t="s">
        <v>558</v>
      </c>
      <c r="I77" s="190"/>
      <c r="J77" s="330"/>
      <c r="K77" s="133"/>
    </row>
    <row r="78" spans="1:11" s="103" customFormat="1" ht="22.5">
      <c r="B78" s="319" t="s">
        <v>271</v>
      </c>
      <c r="C78" s="86" t="s">
        <v>272</v>
      </c>
      <c r="D78" s="323">
        <v>1</v>
      </c>
      <c r="E78" s="86"/>
      <c r="F78" s="86"/>
      <c r="G78" s="90" t="s">
        <v>213</v>
      </c>
      <c r="H78" s="86" t="s">
        <v>524</v>
      </c>
      <c r="I78" s="320"/>
      <c r="J78" s="330"/>
      <c r="K78" s="133"/>
    </row>
    <row r="79" spans="1:11" s="103" customFormat="1" ht="22.5">
      <c r="B79" s="319" t="s">
        <v>273</v>
      </c>
      <c r="C79" s="86" t="s">
        <v>274</v>
      </c>
      <c r="D79" s="323">
        <v>1</v>
      </c>
      <c r="E79" s="86"/>
      <c r="F79" s="86"/>
      <c r="G79" s="90" t="s">
        <v>213</v>
      </c>
      <c r="H79" s="86" t="s">
        <v>524</v>
      </c>
      <c r="I79" s="199"/>
      <c r="J79" s="330"/>
      <c r="K79" s="133"/>
    </row>
    <row r="80" spans="1:11" s="103" customFormat="1" ht="22.5">
      <c r="B80" s="319" t="s">
        <v>275</v>
      </c>
      <c r="C80" s="86" t="s">
        <v>266</v>
      </c>
      <c r="D80" s="323">
        <v>1</v>
      </c>
      <c r="E80" s="86"/>
      <c r="F80" s="86"/>
      <c r="G80" s="86"/>
      <c r="H80" s="86"/>
      <c r="I80" s="199"/>
      <c r="J80" s="330"/>
      <c r="K80" s="133"/>
    </row>
    <row r="81" spans="2:11" s="103" customFormat="1" ht="22.5">
      <c r="B81" s="319" t="s">
        <v>276</v>
      </c>
      <c r="C81" s="86" t="s">
        <v>277</v>
      </c>
      <c r="D81" s="323">
        <v>1</v>
      </c>
      <c r="E81" s="86"/>
      <c r="F81" s="86"/>
      <c r="G81" s="86"/>
      <c r="H81" s="86"/>
      <c r="I81" s="199"/>
      <c r="J81" s="330"/>
      <c r="K81" s="133"/>
    </row>
    <row r="82" spans="2:11" s="99" customFormat="1" ht="12" thickBot="1">
      <c r="B82" s="134" t="s">
        <v>278</v>
      </c>
      <c r="C82" s="135" t="s">
        <v>357</v>
      </c>
      <c r="D82" s="284">
        <v>1</v>
      </c>
      <c r="E82" s="135"/>
      <c r="F82" s="135"/>
      <c r="G82" s="135"/>
      <c r="H82" s="135"/>
      <c r="I82" s="200"/>
      <c r="J82" s="330"/>
      <c r="K82" s="136"/>
    </row>
    <row r="83" spans="2:11" s="99" customFormat="1" ht="9" customHeight="1">
      <c r="B83" s="156"/>
      <c r="C83" s="155"/>
      <c r="D83" s="285"/>
      <c r="E83" s="155"/>
      <c r="F83" s="157"/>
      <c r="G83" s="157"/>
      <c r="H83" s="157"/>
      <c r="I83" s="201"/>
      <c r="J83" s="330"/>
      <c r="K83" s="159"/>
    </row>
    <row r="84" spans="2:11" customFormat="1" ht="21" customHeight="1">
      <c r="B84" s="481"/>
      <c r="C84" s="482"/>
      <c r="D84" s="482"/>
      <c r="E84" s="482"/>
      <c r="F84" s="571" t="s">
        <v>49</v>
      </c>
      <c r="G84" s="571"/>
      <c r="H84" s="571"/>
      <c r="I84" s="571"/>
      <c r="J84" s="572"/>
      <c r="K84" s="573"/>
    </row>
    <row r="85" spans="2:11" customFormat="1" ht="21" customHeight="1">
      <c r="B85" s="483"/>
      <c r="C85" s="570"/>
      <c r="D85" s="570"/>
      <c r="E85" s="570"/>
      <c r="F85" s="571"/>
      <c r="G85" s="571"/>
      <c r="H85" s="571"/>
      <c r="I85" s="571"/>
      <c r="J85" s="572"/>
      <c r="K85" s="573"/>
    </row>
    <row r="86" spans="2:11" customFormat="1" ht="21" customHeight="1">
      <c r="B86" s="483"/>
      <c r="C86" s="570"/>
      <c r="D86" s="570"/>
      <c r="E86" s="570"/>
      <c r="F86" s="571"/>
      <c r="G86" s="571"/>
      <c r="H86" s="571"/>
      <c r="I86" s="571"/>
      <c r="J86" s="572"/>
      <c r="K86" s="573"/>
    </row>
    <row r="87" spans="2:11" customFormat="1" ht="21" customHeight="1">
      <c r="B87" s="483"/>
      <c r="C87" s="570"/>
      <c r="D87" s="570"/>
      <c r="E87" s="570"/>
      <c r="F87" s="571"/>
      <c r="G87" s="571"/>
      <c r="H87" s="571"/>
      <c r="I87" s="571"/>
      <c r="J87" s="572"/>
      <c r="K87" s="573"/>
    </row>
    <row r="88" spans="2:11" customFormat="1" ht="60.6" customHeight="1" thickBot="1">
      <c r="B88" s="485"/>
      <c r="C88" s="486"/>
      <c r="D88" s="486"/>
      <c r="E88" s="486"/>
      <c r="F88" s="574" t="s">
        <v>51</v>
      </c>
      <c r="G88" s="574"/>
      <c r="H88" s="574"/>
      <c r="I88" s="574"/>
      <c r="J88" s="575"/>
      <c r="K88" s="576"/>
    </row>
  </sheetData>
  <mergeCells count="11">
    <mergeCell ref="B84:E88"/>
    <mergeCell ref="F84:K87"/>
    <mergeCell ref="F88:K88"/>
    <mergeCell ref="B50:B51"/>
    <mergeCell ref="C50:C51"/>
    <mergeCell ref="B2:K2"/>
    <mergeCell ref="B1:K1"/>
    <mergeCell ref="B48:B49"/>
    <mergeCell ref="C48:C49"/>
    <mergeCell ref="E3:I7"/>
    <mergeCell ref="J5:K7"/>
  </mergeCells>
  <hyperlinks>
    <hyperlink ref="G48" r:id="rId1" xr:uid="{4ECCE7ED-DC96-4B51-AFDC-F03CB6428588}"/>
    <hyperlink ref="G49" r:id="rId2" xr:uid="{4BB9F139-244A-4E8C-AB23-7FDE477644A3}"/>
    <hyperlink ref="G24:G33" r:id="rId3" display="Wash Care Labels AI files Link" xr:uid="{F13B7E59-2C95-4F53-9226-A88B8D7F37BF}"/>
    <hyperlink ref="G24" r:id="rId4" xr:uid="{08E0C341-E294-4171-9A4A-9A4B8DDA8DA4}"/>
    <hyperlink ref="G33" r:id="rId5" xr:uid="{574463EC-2159-4A72-BAC0-F1A1182DB49C}"/>
    <hyperlink ref="G35:G40" r:id="rId6" display="Product Suppliers Patterns and Guides" xr:uid="{90A849AC-EDC3-4F56-85FC-CFCB3D565C2D}"/>
    <hyperlink ref="G42" r:id="rId7" xr:uid="{EC6DBEAC-36A7-4DB0-843B-46DBD7F4AB09}"/>
    <hyperlink ref="G66" r:id="rId8" xr:uid="{0D211D3F-D01B-4B92-8286-62A9C95A583D}"/>
    <hyperlink ref="G56" r:id="rId9" xr:uid="{1BD85FB2-16C8-4343-87F7-D99A6507706E}"/>
    <hyperlink ref="G57" r:id="rId10" xr:uid="{E219A046-3240-4681-AA38-D9F2F05C5835}"/>
    <hyperlink ref="G58" r:id="rId11" xr:uid="{0B84F5DB-8FF5-4E09-A30B-DA8B7F577118}"/>
    <hyperlink ref="G64:G74" r:id="rId12" display="Suppliers Product Packing Artwork Files" xr:uid="{65AFA7F6-6EBF-4250-B04A-FC83E615D1B2}"/>
    <hyperlink ref="G67" r:id="rId13" xr:uid="{7D47B360-85B7-4EB4-923D-B881A4C9D182}"/>
    <hyperlink ref="G78:G79" r:id="rId14" display="Suppliers Product Packing Artwork Files" xr:uid="{9225D35E-4940-4D61-A00B-4EFAF08E8CC5}"/>
    <hyperlink ref="G60" r:id="rId15" xr:uid="{7D953FFF-85BC-42E6-900E-053D6C77F43C}"/>
    <hyperlink ref="G69" r:id="rId16" xr:uid="{FBC6C74C-1AC1-47A4-9ACC-F9E507D1EB40}"/>
    <hyperlink ref="G61" r:id="rId17" xr:uid="{60689D0C-BFD4-43E6-82EE-9C1272BEB818}"/>
    <hyperlink ref="G52" r:id="rId18" xr:uid="{709FAC3E-E5D1-4324-BA5D-8882C5536135}"/>
    <hyperlink ref="G53" r:id="rId19" xr:uid="{9F7D4D27-5872-44D7-8FAE-7926102D587E}"/>
    <hyperlink ref="G50" r:id="rId20" xr:uid="{5F5A9289-BE1A-4266-8BEC-45EC75126E16}"/>
    <hyperlink ref="G51" r:id="rId21" xr:uid="{5CB2A942-7F3D-41D4-A485-9A78C2945B27}"/>
    <hyperlink ref="G45" r:id="rId22" xr:uid="{67D39D01-204A-41D5-AC49-7786F6ABC5D1}"/>
    <hyperlink ref="G46" r:id="rId23" xr:uid="{55C572D5-CB95-4E71-9606-0FB159AA5A69}"/>
    <hyperlink ref="G71" r:id="rId24" xr:uid="{993E8D84-24A9-4558-9635-99324DA99413}"/>
    <hyperlink ref="G72" r:id="rId25" xr:uid="{058D73EC-519F-4E31-8C1B-2F82AAFC0A52}"/>
    <hyperlink ref="G36:G38" r:id="rId26" display="Product Suppliers Patterns and Guides" xr:uid="{93BA5C75-95FD-4104-9B47-4B834172548F}"/>
    <hyperlink ref="G70" r:id="rId27" xr:uid="{427408E1-69E4-4254-8352-65C77F84850E}"/>
    <hyperlink ref="G54" r:id="rId28" xr:uid="{6254FA37-B711-4506-AF56-F5762F263A11}"/>
    <hyperlink ref="G76:G77" r:id="rId29" display="Suppliers Product Packing Artwork Files" xr:uid="{573F82E7-4F53-4F5A-B523-F614D120F319}"/>
    <hyperlink ref="G59" r:id="rId30" xr:uid="{4326ECCF-6771-4A69-9DBC-F93C1142EB98}"/>
    <hyperlink ref="G62" r:id="rId31" xr:uid="{7D5FD0FC-62E8-45D2-B078-26F7701CBFA6}"/>
    <hyperlink ref="G34" r:id="rId32" xr:uid="{5E30B816-A491-4EF8-8569-3D62F7A23F35}"/>
    <hyperlink ref="G37" r:id="rId33" xr:uid="{D93C38F6-152C-48B8-B112-81DC2D78E1DE}"/>
    <hyperlink ref="G41" r:id="rId34" xr:uid="{E201B457-F316-4520-9B9F-C100ACF5CE34}"/>
    <hyperlink ref="G43" r:id="rId35" xr:uid="{B86088CA-D6D0-42B2-9366-6D99CBA5230B}"/>
    <hyperlink ref="G44" r:id="rId36" xr:uid="{1F27FEFF-EF68-4D0E-BA90-1ED6B779D4BE}"/>
    <hyperlink ref="G75" r:id="rId37" xr:uid="{DF186B75-9E52-48ED-B4E2-915F8666C330}"/>
  </hyperlinks>
  <pageMargins left="0.19685039370078741" right="0.19685039370078741" top="0" bottom="0" header="0.31496062992125984" footer="0.31496062992125984"/>
  <pageSetup paperSize="9" scale="50" fitToHeight="0" orientation="landscape" r:id="rId38"/>
  <drawing r:id="rId3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51215-6637-4FA7-8438-8FEC84AF7FA5}">
  <sheetPr codeName="Sheet10">
    <pageSetUpPr fitToPage="1"/>
  </sheetPr>
  <dimension ref="A1:L49"/>
  <sheetViews>
    <sheetView topLeftCell="L1" zoomScale="90" zoomScaleNormal="90" workbookViewId="0">
      <selection activeCell="L3" sqref="L3"/>
    </sheetView>
  </sheetViews>
  <sheetFormatPr defaultColWidth="9.140625" defaultRowHeight="11.25"/>
  <cols>
    <col min="1" max="1" width="9.140625" style="77"/>
    <col min="2" max="2" width="21.7109375" style="77" customWidth="1"/>
    <col min="3" max="3" width="33" style="77" customWidth="1"/>
    <col min="4" max="5" width="14.140625" style="77" bestFit="1" customWidth="1"/>
    <col min="6" max="6" width="19" style="77" customWidth="1"/>
    <col min="7" max="7" width="31.140625" style="77" customWidth="1"/>
    <col min="8" max="8" width="25.28515625" style="77" bestFit="1" customWidth="1"/>
    <col min="9" max="11" width="16.140625" style="77" customWidth="1"/>
    <col min="12" max="12" width="12.42578125" style="77" bestFit="1" customWidth="1"/>
    <col min="13" max="16384" width="9.140625" style="77"/>
  </cols>
  <sheetData>
    <row r="1" spans="1:12" ht="81.599999999999994" customHeight="1">
      <c r="B1" s="577"/>
      <c r="C1" s="578"/>
      <c r="D1" s="578"/>
      <c r="E1" s="578"/>
      <c r="F1" s="578"/>
      <c r="G1" s="578"/>
      <c r="H1" s="578"/>
      <c r="I1" s="578"/>
      <c r="J1" s="578"/>
      <c r="K1" s="578"/>
      <c r="L1" s="579"/>
    </row>
    <row r="2" spans="1:12" ht="25.5" customHeight="1">
      <c r="B2" s="580" t="s">
        <v>332</v>
      </c>
      <c r="C2" s="581"/>
      <c r="D2" s="581"/>
      <c r="E2" s="581"/>
      <c r="F2" s="581"/>
      <c r="G2" s="581"/>
      <c r="H2" s="581"/>
      <c r="I2" s="581"/>
      <c r="J2" s="581"/>
      <c r="K2" s="582"/>
      <c r="L2" s="583"/>
    </row>
    <row r="3" spans="1:12" s="9" customFormat="1" ht="30.75" customHeight="1">
      <c r="A3"/>
      <c r="B3" s="39" t="s">
        <v>23</v>
      </c>
      <c r="C3" s="58"/>
      <c r="D3" s="216"/>
      <c r="E3" s="596"/>
      <c r="F3" s="597"/>
      <c r="G3" s="597"/>
      <c r="H3" s="597"/>
      <c r="I3" s="597"/>
      <c r="J3" s="597"/>
      <c r="K3" s="141" t="s">
        <v>170</v>
      </c>
      <c r="L3" s="140">
        <v>43790</v>
      </c>
    </row>
    <row r="4" spans="1:12" s="9" customFormat="1" ht="15.75" customHeight="1">
      <c r="A4"/>
      <c r="B4" s="41" t="s">
        <v>3</v>
      </c>
      <c r="C4" s="21"/>
      <c r="D4" s="278"/>
      <c r="E4" s="598"/>
      <c r="F4" s="599"/>
      <c r="G4" s="599"/>
      <c r="H4" s="599"/>
      <c r="I4" s="599"/>
      <c r="J4" s="599"/>
      <c r="K4" s="183" t="s">
        <v>5</v>
      </c>
      <c r="L4" s="328"/>
    </row>
    <row r="5" spans="1:12" s="9" customFormat="1" ht="18" customHeight="1">
      <c r="A5"/>
      <c r="B5" s="42" t="s">
        <v>72</v>
      </c>
      <c r="C5" s="59"/>
      <c r="D5" s="279"/>
      <c r="E5" s="598"/>
      <c r="F5" s="599"/>
      <c r="G5" s="599"/>
      <c r="H5" s="599"/>
      <c r="I5" s="599"/>
      <c r="J5" s="599"/>
      <c r="K5" s="462"/>
      <c r="L5" s="594"/>
    </row>
    <row r="6" spans="1:12" s="9" customFormat="1" ht="15.75" customHeight="1">
      <c r="A6"/>
      <c r="B6" s="43" t="s">
        <v>312</v>
      </c>
      <c r="C6" s="163"/>
      <c r="D6" s="280"/>
      <c r="E6" s="598"/>
      <c r="F6" s="599"/>
      <c r="G6" s="599"/>
      <c r="H6" s="599"/>
      <c r="I6" s="599"/>
      <c r="J6" s="599"/>
      <c r="K6" s="595"/>
      <c r="L6" s="403"/>
    </row>
    <row r="7" spans="1:12" s="9" customFormat="1" ht="15.75" customHeight="1">
      <c r="A7"/>
      <c r="B7" s="72"/>
      <c r="C7" s="73"/>
      <c r="D7" s="278"/>
      <c r="E7" s="600"/>
      <c r="F7" s="601"/>
      <c r="G7" s="601"/>
      <c r="H7" s="601"/>
      <c r="I7" s="601"/>
      <c r="J7" s="601"/>
      <c r="K7" s="404"/>
      <c r="L7" s="405"/>
    </row>
    <row r="8" spans="1:12" s="105" customFormat="1" ht="22.5">
      <c r="B8" s="121" t="s">
        <v>18</v>
      </c>
      <c r="C8" s="78" t="s">
        <v>173</v>
      </c>
      <c r="D8" s="78" t="s">
        <v>550</v>
      </c>
      <c r="E8" s="78" t="s">
        <v>174</v>
      </c>
      <c r="F8" s="78" t="s">
        <v>175</v>
      </c>
      <c r="G8" s="78" t="s">
        <v>176</v>
      </c>
      <c r="H8" s="78" t="s">
        <v>177</v>
      </c>
      <c r="I8" s="78" t="s">
        <v>178</v>
      </c>
      <c r="J8" s="78" t="s">
        <v>179</v>
      </c>
      <c r="K8" s="78" t="s">
        <v>631</v>
      </c>
      <c r="L8" s="122" t="s">
        <v>180</v>
      </c>
    </row>
    <row r="9" spans="1:12" s="106" customFormat="1">
      <c r="B9" s="123" t="s">
        <v>181</v>
      </c>
      <c r="C9" s="80"/>
      <c r="D9" s="80"/>
      <c r="E9" s="80"/>
      <c r="F9" s="80"/>
      <c r="G9" s="80"/>
      <c r="H9" s="80"/>
      <c r="I9" s="80"/>
      <c r="J9" s="80"/>
      <c r="K9" s="80"/>
      <c r="L9" s="124"/>
    </row>
    <row r="10" spans="1:12" s="107" customFormat="1" ht="34.15" customHeight="1">
      <c r="B10" s="125" t="s">
        <v>349</v>
      </c>
      <c r="C10" s="83" t="s">
        <v>183</v>
      </c>
      <c r="D10" s="83"/>
      <c r="E10" s="83" t="s">
        <v>184</v>
      </c>
      <c r="F10" s="83" t="s">
        <v>338</v>
      </c>
      <c r="G10" s="83"/>
      <c r="H10" s="111"/>
      <c r="I10" s="111"/>
      <c r="J10" s="111"/>
      <c r="K10" s="111"/>
      <c r="L10" s="126"/>
    </row>
    <row r="11" spans="1:12" s="107" customFormat="1" ht="34.15" customHeight="1">
      <c r="B11" s="125" t="s">
        <v>350</v>
      </c>
      <c r="C11" s="83" t="s">
        <v>336</v>
      </c>
      <c r="D11" s="83"/>
      <c r="E11" s="83" t="s">
        <v>337</v>
      </c>
      <c r="F11" s="83" t="s">
        <v>338</v>
      </c>
      <c r="G11" s="83"/>
      <c r="H11" s="111"/>
      <c r="I11" s="111"/>
      <c r="J11" s="111"/>
      <c r="K11" s="80"/>
      <c r="L11" s="126"/>
    </row>
    <row r="12" spans="1:12" s="106" customFormat="1" ht="33.75" customHeight="1">
      <c r="B12" s="128" t="s">
        <v>199</v>
      </c>
      <c r="C12" s="80"/>
      <c r="D12" s="80"/>
      <c r="E12" s="80"/>
      <c r="F12" s="80"/>
      <c r="G12" s="80"/>
      <c r="H12" s="88"/>
      <c r="I12" s="88"/>
      <c r="J12" s="88"/>
      <c r="K12" s="85"/>
      <c r="L12" s="124"/>
    </row>
    <row r="13" spans="1:12" s="103" customFormat="1">
      <c r="B13" s="129" t="s">
        <v>200</v>
      </c>
      <c r="C13" s="86"/>
      <c r="D13" s="86"/>
      <c r="E13" s="86"/>
      <c r="F13" s="86"/>
      <c r="G13" s="86"/>
      <c r="H13" s="321"/>
      <c r="I13" s="321"/>
      <c r="J13" s="321"/>
      <c r="K13" s="80"/>
      <c r="L13" s="137"/>
    </row>
    <row r="14" spans="1:12" s="103" customFormat="1">
      <c r="B14" s="129" t="s">
        <v>201</v>
      </c>
      <c r="C14" s="86"/>
      <c r="D14" s="86"/>
      <c r="E14" s="86"/>
      <c r="F14" s="86"/>
      <c r="G14" s="86"/>
      <c r="H14" s="321"/>
      <c r="I14" s="321"/>
      <c r="J14" s="321"/>
      <c r="K14" s="85"/>
      <c r="L14" s="137"/>
    </row>
    <row r="15" spans="1:12" s="103" customFormat="1">
      <c r="B15" s="129" t="s">
        <v>202</v>
      </c>
      <c r="C15" s="86"/>
      <c r="D15" s="86"/>
      <c r="E15" s="86"/>
      <c r="F15" s="86"/>
      <c r="G15" s="86"/>
      <c r="H15" s="321"/>
      <c r="I15" s="321"/>
      <c r="J15" s="321"/>
      <c r="K15" s="85"/>
      <c r="L15" s="137"/>
    </row>
    <row r="16" spans="1:12" s="103" customFormat="1">
      <c r="B16" s="129" t="s">
        <v>203</v>
      </c>
      <c r="C16" s="86"/>
      <c r="D16" s="86"/>
      <c r="E16" s="86"/>
      <c r="F16" s="86"/>
      <c r="G16" s="86"/>
      <c r="H16" s="321"/>
      <c r="I16" s="321"/>
      <c r="J16" s="321"/>
      <c r="K16" s="87"/>
      <c r="L16" s="137"/>
    </row>
    <row r="17" spans="1:12" s="103" customFormat="1" ht="23.25" customHeight="1">
      <c r="B17" s="322" t="s">
        <v>368</v>
      </c>
      <c r="C17" s="320" t="s">
        <v>369</v>
      </c>
      <c r="D17" s="83"/>
      <c r="E17" s="83" t="s">
        <v>337</v>
      </c>
      <c r="F17" s="323"/>
      <c r="G17" s="112" t="s">
        <v>213</v>
      </c>
      <c r="H17" s="113"/>
      <c r="I17" s="321"/>
      <c r="J17" s="321"/>
      <c r="K17" s="189"/>
      <c r="L17" s="137"/>
    </row>
    <row r="18" spans="1:12" s="103" customFormat="1" ht="18.95" customHeight="1">
      <c r="B18" s="322" t="s">
        <v>368</v>
      </c>
      <c r="C18" s="320" t="s">
        <v>395</v>
      </c>
      <c r="D18" s="83"/>
      <c r="E18" s="83" t="s">
        <v>337</v>
      </c>
      <c r="F18" s="323"/>
      <c r="G18" s="112" t="s">
        <v>213</v>
      </c>
      <c r="H18" s="113"/>
      <c r="I18" s="321"/>
      <c r="J18" s="321"/>
      <c r="K18" s="321"/>
      <c r="L18" s="137"/>
    </row>
    <row r="19" spans="1:12" s="106" customFormat="1" ht="32.25" customHeight="1">
      <c r="B19" s="127" t="s">
        <v>223</v>
      </c>
      <c r="C19" s="92"/>
      <c r="D19" s="92"/>
      <c r="E19" s="92"/>
      <c r="F19" s="92"/>
      <c r="G19" s="92"/>
      <c r="H19" s="93"/>
      <c r="I19" s="118"/>
      <c r="J19" s="118"/>
      <c r="K19" s="88"/>
      <c r="L19" s="130"/>
    </row>
    <row r="20" spans="1:12" s="103" customFormat="1">
      <c r="B20" s="129" t="s">
        <v>340</v>
      </c>
      <c r="C20" s="94" t="s">
        <v>225</v>
      </c>
      <c r="D20" s="94"/>
      <c r="E20" s="94"/>
      <c r="F20" s="94"/>
      <c r="G20" s="95" t="s">
        <v>226</v>
      </c>
      <c r="H20" s="96" t="s">
        <v>342</v>
      </c>
      <c r="I20" s="97">
        <v>43301</v>
      </c>
      <c r="J20" s="97"/>
      <c r="K20" s="321"/>
      <c r="L20" s="131"/>
    </row>
    <row r="21" spans="1:12" s="103" customFormat="1">
      <c r="B21" s="129" t="s">
        <v>341</v>
      </c>
      <c r="C21" s="94" t="s">
        <v>225</v>
      </c>
      <c r="D21" s="94"/>
      <c r="E21" s="94"/>
      <c r="F21" s="94"/>
      <c r="G21" s="95" t="s">
        <v>226</v>
      </c>
      <c r="H21" s="98" t="s">
        <v>343</v>
      </c>
      <c r="I21" s="97">
        <v>43301</v>
      </c>
      <c r="J21" s="97"/>
      <c r="K21" s="321"/>
      <c r="L21" s="131"/>
    </row>
    <row r="22" spans="1:12" s="103" customFormat="1">
      <c r="B22" s="129" t="s">
        <v>353</v>
      </c>
      <c r="C22" s="94" t="s">
        <v>225</v>
      </c>
      <c r="D22" s="94"/>
      <c r="E22" s="94"/>
      <c r="F22" s="94"/>
      <c r="G22" s="95" t="s">
        <v>226</v>
      </c>
      <c r="H22" s="98" t="s">
        <v>355</v>
      </c>
      <c r="I22" s="97">
        <v>43337</v>
      </c>
      <c r="J22" s="196"/>
      <c r="K22" s="321"/>
      <c r="L22" s="131"/>
    </row>
    <row r="23" spans="1:12" s="103" customFormat="1">
      <c r="B23" s="129" t="s">
        <v>354</v>
      </c>
      <c r="C23" s="94" t="s">
        <v>225</v>
      </c>
      <c r="D23" s="94"/>
      <c r="E23" s="94"/>
      <c r="F23" s="94"/>
      <c r="G23" s="95" t="s">
        <v>226</v>
      </c>
      <c r="H23" s="98" t="s">
        <v>356</v>
      </c>
      <c r="I23" s="97">
        <v>43306</v>
      </c>
      <c r="J23" s="196"/>
      <c r="K23" s="321"/>
      <c r="L23" s="131"/>
    </row>
    <row r="24" spans="1:12" s="106" customFormat="1" ht="36.75" customHeight="1">
      <c r="B24" s="128" t="s">
        <v>238</v>
      </c>
      <c r="C24" s="92"/>
      <c r="D24" s="92"/>
      <c r="E24" s="92"/>
      <c r="F24" s="92"/>
      <c r="G24" s="92"/>
      <c r="H24" s="93"/>
      <c r="I24" s="119"/>
      <c r="J24" s="119"/>
      <c r="K24" s="321"/>
      <c r="L24" s="130"/>
    </row>
    <row r="25" spans="1:12" s="103" customFormat="1" ht="44.25" customHeight="1">
      <c r="B25" s="322" t="s">
        <v>279</v>
      </c>
      <c r="C25" s="320" t="s">
        <v>299</v>
      </c>
      <c r="D25" s="320"/>
      <c r="E25" s="320" t="s">
        <v>211</v>
      </c>
      <c r="F25" s="323" t="s">
        <v>212</v>
      </c>
      <c r="G25" s="112" t="s">
        <v>213</v>
      </c>
      <c r="H25" s="113" t="s">
        <v>509</v>
      </c>
      <c r="I25" s="321">
        <v>43260</v>
      </c>
      <c r="J25" s="321"/>
      <c r="K25" s="321"/>
      <c r="L25" s="137"/>
    </row>
    <row r="26" spans="1:12" s="103" customFormat="1" ht="22.5">
      <c r="B26" s="129" t="s">
        <v>339</v>
      </c>
      <c r="C26" s="320" t="s">
        <v>216</v>
      </c>
      <c r="D26" s="320"/>
      <c r="E26" s="320" t="s">
        <v>217</v>
      </c>
      <c r="F26" s="320" t="s">
        <v>218</v>
      </c>
      <c r="G26" s="90" t="s">
        <v>213</v>
      </c>
      <c r="H26" s="91" t="s">
        <v>540</v>
      </c>
      <c r="I26" s="117"/>
      <c r="J26" s="117"/>
      <c r="K26" s="93"/>
      <c r="L26" s="137"/>
    </row>
    <row r="27" spans="1:12" s="103" customFormat="1" ht="33.75">
      <c r="B27" s="319" t="s">
        <v>258</v>
      </c>
      <c r="C27" s="86" t="s">
        <v>259</v>
      </c>
      <c r="D27" s="86"/>
      <c r="E27" s="86"/>
      <c r="F27" s="86"/>
      <c r="G27" s="90" t="s">
        <v>213</v>
      </c>
      <c r="H27" s="86" t="s">
        <v>541</v>
      </c>
      <c r="I27" s="85"/>
      <c r="J27" s="85"/>
      <c r="K27" s="97"/>
      <c r="L27" s="131"/>
    </row>
    <row r="28" spans="1:12" s="103" customFormat="1" ht="43.9" customHeight="1">
      <c r="B28" s="319" t="s">
        <v>404</v>
      </c>
      <c r="C28" s="86" t="s">
        <v>292</v>
      </c>
      <c r="D28" s="86"/>
      <c r="E28" s="86"/>
      <c r="F28" s="86"/>
      <c r="G28" s="90" t="s">
        <v>213</v>
      </c>
      <c r="H28" s="86" t="s">
        <v>542</v>
      </c>
      <c r="I28" s="85"/>
      <c r="J28" s="85"/>
      <c r="K28" s="97"/>
      <c r="L28" s="131"/>
    </row>
    <row r="29" spans="1:12" s="103" customFormat="1" ht="45">
      <c r="B29" s="319" t="s">
        <v>405</v>
      </c>
      <c r="C29" s="86" t="s">
        <v>293</v>
      </c>
      <c r="D29" s="86"/>
      <c r="E29" s="86"/>
      <c r="F29" s="86"/>
      <c r="G29" s="90" t="s">
        <v>213</v>
      </c>
      <c r="H29" s="86" t="s">
        <v>542</v>
      </c>
      <c r="I29" s="102"/>
      <c r="J29" s="102"/>
      <c r="K29" s="97"/>
      <c r="L29" s="138"/>
    </row>
    <row r="30" spans="1:12" s="89" customFormat="1" ht="33.75">
      <c r="A30"/>
      <c r="B30" s="129" t="s">
        <v>344</v>
      </c>
      <c r="C30" s="86" t="s">
        <v>346</v>
      </c>
      <c r="D30" s="333"/>
      <c r="E30" s="333" t="s">
        <v>345</v>
      </c>
      <c r="F30" s="334" t="s">
        <v>347</v>
      </c>
      <c r="G30" s="90" t="s">
        <v>213</v>
      </c>
      <c r="H30" s="86" t="s">
        <v>543</v>
      </c>
      <c r="I30" s="335">
        <v>43186</v>
      </c>
      <c r="J30" s="335"/>
      <c r="K30" s="97"/>
      <c r="L30" s="126"/>
    </row>
    <row r="31" spans="1:12" s="89" customFormat="1" ht="35.25" customHeight="1">
      <c r="A31"/>
      <c r="B31" s="319" t="s">
        <v>360</v>
      </c>
      <c r="C31" s="86" t="s">
        <v>361</v>
      </c>
      <c r="D31" s="86"/>
      <c r="E31" s="86"/>
      <c r="F31" s="101"/>
      <c r="G31" s="112" t="s">
        <v>213</v>
      </c>
      <c r="H31" s="86" t="s">
        <v>520</v>
      </c>
      <c r="I31" s="115">
        <v>43315</v>
      </c>
      <c r="J31" s="114"/>
      <c r="K31" s="97"/>
      <c r="L31" s="132"/>
    </row>
    <row r="32" spans="1:12" s="89" customFormat="1" ht="23.25">
      <c r="A32"/>
      <c r="B32" s="129" t="s">
        <v>362</v>
      </c>
      <c r="C32" s="86" t="s">
        <v>246</v>
      </c>
      <c r="D32" s="86"/>
      <c r="E32" s="86"/>
      <c r="F32" s="116" t="s">
        <v>363</v>
      </c>
      <c r="G32" s="112" t="s">
        <v>213</v>
      </c>
      <c r="H32" s="86" t="s">
        <v>521</v>
      </c>
      <c r="I32" s="115">
        <v>43315</v>
      </c>
      <c r="J32" s="115"/>
      <c r="K32" s="97"/>
      <c r="L32" s="126"/>
    </row>
    <row r="33" spans="2:12" s="103" customFormat="1">
      <c r="B33" s="319" t="s">
        <v>265</v>
      </c>
      <c r="C33" s="86" t="s">
        <v>266</v>
      </c>
      <c r="D33" s="86"/>
      <c r="E33" s="86"/>
      <c r="F33" s="86"/>
      <c r="G33" s="90"/>
      <c r="H33" s="91"/>
      <c r="I33" s="85"/>
      <c r="J33" s="85"/>
      <c r="K33" s="97"/>
      <c r="L33" s="133"/>
    </row>
    <row r="34" spans="2:12" s="103" customFormat="1">
      <c r="B34" s="319" t="s">
        <v>267</v>
      </c>
      <c r="C34" s="86" t="s">
        <v>268</v>
      </c>
      <c r="D34" s="86"/>
      <c r="E34" s="86"/>
      <c r="F34" s="86"/>
      <c r="G34" s="90"/>
      <c r="H34" s="91"/>
      <c r="I34" s="323"/>
      <c r="J34" s="323"/>
      <c r="K34" s="196"/>
      <c r="L34" s="133"/>
    </row>
    <row r="35" spans="2:12" s="103" customFormat="1" ht="22.5">
      <c r="B35" s="129" t="s">
        <v>294</v>
      </c>
      <c r="C35" s="86" t="s">
        <v>295</v>
      </c>
      <c r="D35" s="323"/>
      <c r="E35" s="323"/>
      <c r="F35" s="86" t="s">
        <v>296</v>
      </c>
      <c r="G35" s="90" t="s">
        <v>213</v>
      </c>
      <c r="H35" s="86" t="s">
        <v>544</v>
      </c>
      <c r="I35" s="323"/>
      <c r="J35" s="323"/>
      <c r="K35" s="196"/>
      <c r="L35" s="133"/>
    </row>
    <row r="36" spans="2:12" s="103" customFormat="1" ht="22.5">
      <c r="B36" s="129" t="s">
        <v>297</v>
      </c>
      <c r="C36" s="86" t="s">
        <v>295</v>
      </c>
      <c r="D36" s="323"/>
      <c r="E36" s="323"/>
      <c r="F36" s="86" t="s">
        <v>348</v>
      </c>
      <c r="G36" s="90" t="s">
        <v>213</v>
      </c>
      <c r="H36" s="86" t="s">
        <v>544</v>
      </c>
      <c r="I36" s="321"/>
      <c r="J36" s="321"/>
      <c r="K36" s="93"/>
      <c r="L36" s="133"/>
    </row>
    <row r="37" spans="2:12" s="103" customFormat="1" ht="33.75">
      <c r="B37" s="319" t="s">
        <v>410</v>
      </c>
      <c r="C37" s="86" t="s">
        <v>411</v>
      </c>
      <c r="D37" s="86"/>
      <c r="E37" s="86"/>
      <c r="F37" s="86" t="s">
        <v>412</v>
      </c>
      <c r="G37" s="90" t="s">
        <v>213</v>
      </c>
      <c r="H37" s="86" t="s">
        <v>538</v>
      </c>
      <c r="I37" s="321">
        <v>43306</v>
      </c>
      <c r="J37" s="190"/>
      <c r="K37" s="321"/>
      <c r="L37" s="133"/>
    </row>
    <row r="38" spans="2:12" s="103" customFormat="1" ht="33.75">
      <c r="B38" s="319" t="s">
        <v>413</v>
      </c>
      <c r="C38" s="86" t="s">
        <v>414</v>
      </c>
      <c r="D38" s="86"/>
      <c r="E38" s="86"/>
      <c r="F38" s="86" t="s">
        <v>415</v>
      </c>
      <c r="G38" s="90" t="s">
        <v>213</v>
      </c>
      <c r="H38" s="86" t="s">
        <v>539</v>
      </c>
      <c r="I38" s="321">
        <v>43306</v>
      </c>
      <c r="J38" s="190"/>
      <c r="K38" s="321"/>
      <c r="L38" s="133"/>
    </row>
    <row r="39" spans="2:12" s="103" customFormat="1" ht="22.5">
      <c r="B39" s="319" t="s">
        <v>271</v>
      </c>
      <c r="C39" s="86" t="s">
        <v>272</v>
      </c>
      <c r="D39" s="86"/>
      <c r="E39" s="86"/>
      <c r="F39" s="86"/>
      <c r="G39" s="90" t="s">
        <v>213</v>
      </c>
      <c r="H39" s="86" t="s">
        <v>524</v>
      </c>
      <c r="I39" s="323"/>
      <c r="J39" s="323"/>
      <c r="K39" s="321"/>
      <c r="L39" s="133"/>
    </row>
    <row r="40" spans="2:12" s="103" customFormat="1" ht="22.5">
      <c r="B40" s="319" t="s">
        <v>273</v>
      </c>
      <c r="C40" s="86" t="s">
        <v>274</v>
      </c>
      <c r="D40" s="86"/>
      <c r="E40" s="86"/>
      <c r="F40" s="86"/>
      <c r="G40" s="90" t="s">
        <v>213</v>
      </c>
      <c r="H40" s="86" t="s">
        <v>524</v>
      </c>
      <c r="I40" s="110"/>
      <c r="J40" s="110"/>
      <c r="K40" s="85"/>
      <c r="L40" s="133"/>
    </row>
    <row r="41" spans="2:12" s="103" customFormat="1" ht="22.5">
      <c r="B41" s="319" t="s">
        <v>275</v>
      </c>
      <c r="C41" s="86" t="s">
        <v>266</v>
      </c>
      <c r="D41" s="86"/>
      <c r="E41" s="86"/>
      <c r="F41" s="86"/>
      <c r="G41" s="86"/>
      <c r="H41" s="86"/>
      <c r="I41" s="110"/>
      <c r="J41" s="110"/>
      <c r="K41" s="85"/>
      <c r="L41" s="133"/>
    </row>
    <row r="42" spans="2:12" s="103" customFormat="1" ht="22.5">
      <c r="B42" s="319" t="s">
        <v>276</v>
      </c>
      <c r="C42" s="86" t="s">
        <v>277</v>
      </c>
      <c r="D42" s="86"/>
      <c r="E42" s="86"/>
      <c r="F42" s="86"/>
      <c r="G42" s="86"/>
      <c r="H42" s="86"/>
      <c r="I42" s="110"/>
      <c r="J42" s="110"/>
      <c r="K42" s="102"/>
      <c r="L42" s="133"/>
    </row>
    <row r="43" spans="2:12" s="99" customFormat="1" ht="15.75" thickBot="1">
      <c r="B43" s="134" t="s">
        <v>278</v>
      </c>
      <c r="C43" s="135" t="s">
        <v>266</v>
      </c>
      <c r="D43" s="135"/>
      <c r="E43" s="135"/>
      <c r="F43" s="135"/>
      <c r="G43" s="135"/>
      <c r="H43" s="135"/>
      <c r="I43" s="139"/>
      <c r="J43" s="139"/>
      <c r="K43" s="28"/>
      <c r="L43" s="136"/>
    </row>
    <row r="44" spans="2:12" s="99" customFormat="1" ht="9" customHeight="1">
      <c r="B44" s="156"/>
      <c r="C44" s="155"/>
      <c r="D44" s="155"/>
      <c r="E44" s="155"/>
      <c r="F44" s="157"/>
      <c r="G44" s="157"/>
      <c r="H44" s="157"/>
      <c r="I44" s="158"/>
      <c r="J44" s="158"/>
      <c r="K44" s="85"/>
      <c r="L44" s="159"/>
    </row>
    <row r="45" spans="2:12" customFormat="1" ht="21" customHeight="1">
      <c r="B45" s="481"/>
      <c r="C45" s="482"/>
      <c r="D45" s="482"/>
      <c r="E45" s="482"/>
      <c r="F45" s="571" t="s">
        <v>49</v>
      </c>
      <c r="G45" s="571"/>
      <c r="H45" s="571"/>
      <c r="I45" s="571"/>
      <c r="J45" s="571"/>
      <c r="K45" s="572"/>
      <c r="L45" s="573"/>
    </row>
    <row r="46" spans="2:12" customFormat="1" ht="21" customHeight="1">
      <c r="B46" s="483"/>
      <c r="C46" s="570"/>
      <c r="D46" s="570"/>
      <c r="E46" s="570"/>
      <c r="F46" s="571"/>
      <c r="G46" s="571"/>
      <c r="H46" s="571"/>
      <c r="I46" s="571"/>
      <c r="J46" s="571"/>
      <c r="K46" s="572"/>
      <c r="L46" s="573"/>
    </row>
    <row r="47" spans="2:12" customFormat="1" ht="21" customHeight="1">
      <c r="B47" s="483"/>
      <c r="C47" s="570"/>
      <c r="D47" s="570"/>
      <c r="E47" s="570"/>
      <c r="F47" s="571"/>
      <c r="G47" s="571"/>
      <c r="H47" s="571"/>
      <c r="I47" s="571"/>
      <c r="J47" s="571"/>
      <c r="K47" s="572"/>
      <c r="L47" s="573"/>
    </row>
    <row r="48" spans="2:12" customFormat="1" ht="21" customHeight="1">
      <c r="B48" s="483"/>
      <c r="C48" s="570"/>
      <c r="D48" s="570"/>
      <c r="E48" s="570"/>
      <c r="F48" s="571"/>
      <c r="G48" s="571"/>
      <c r="H48" s="571"/>
      <c r="I48" s="571"/>
      <c r="J48" s="571"/>
      <c r="K48" s="572"/>
      <c r="L48" s="573"/>
    </row>
    <row r="49" spans="2:12" customFormat="1" ht="60.6" customHeight="1" thickBot="1">
      <c r="B49" s="485"/>
      <c r="C49" s="486"/>
      <c r="D49" s="486"/>
      <c r="E49" s="486"/>
      <c r="F49" s="574" t="s">
        <v>51</v>
      </c>
      <c r="G49" s="574"/>
      <c r="H49" s="574"/>
      <c r="I49" s="574"/>
      <c r="J49" s="574"/>
      <c r="K49" s="575"/>
      <c r="L49" s="576"/>
    </row>
  </sheetData>
  <mergeCells count="7">
    <mergeCell ref="B45:E49"/>
    <mergeCell ref="F45:L48"/>
    <mergeCell ref="F49:L49"/>
    <mergeCell ref="B1:L1"/>
    <mergeCell ref="B2:L2"/>
    <mergeCell ref="E3:J7"/>
    <mergeCell ref="K5:L7"/>
  </mergeCells>
  <hyperlinks>
    <hyperlink ref="G25" r:id="rId1" xr:uid="{04244636-7DA6-49F4-9B8F-1FFBE4D8B50A}"/>
    <hyperlink ref="G26" r:id="rId2" xr:uid="{F4D27CBA-1E92-4BF9-B01A-994DE43F461D}"/>
    <hyperlink ref="G19:G20" r:id="rId3" display="Wash Care Labels AI files Link" xr:uid="{A2729422-85DC-4D16-92F7-60FB265CDDEE}"/>
    <hyperlink ref="G20" r:id="rId4" xr:uid="{6061597E-29E1-4D82-9BFD-EB4E87A002C7}"/>
    <hyperlink ref="G21" r:id="rId5" xr:uid="{AC3C1906-37B4-4D3E-AD9D-DCE27DEEBC11}"/>
    <hyperlink ref="G27" r:id="rId6" xr:uid="{8187B9FA-212F-4AFF-B2F9-BC900A1356C7}"/>
    <hyperlink ref="G28" r:id="rId7" xr:uid="{B4DC1DC9-BAF1-470C-993B-F48511FD6AC7}"/>
    <hyperlink ref="G33:G34" r:id="rId8" display="Suppliers Product Packing Artwork Files" xr:uid="{E9F2C481-2FA7-4A1A-864D-2511616F38C5}"/>
    <hyperlink ref="G39:G40" r:id="rId9" display="Suppliers Product Packing Artwork Files" xr:uid="{5F3B6A4E-C1B4-44BB-952B-68428225D292}"/>
    <hyperlink ref="G35" r:id="rId10" xr:uid="{AF427054-49C2-4F91-8FF8-9F322C67AAA9}"/>
    <hyperlink ref="G30" r:id="rId11" xr:uid="{1C940019-82BD-4C52-8BBD-B56303A145ED}"/>
    <hyperlink ref="G36" r:id="rId12" xr:uid="{1B08C209-B04E-4EA4-94D7-9E111214DBF4}"/>
    <hyperlink ref="G22" r:id="rId13" xr:uid="{7B008243-2AE2-479F-8A3F-5EA5DA231F0C}"/>
    <hyperlink ref="G23" r:id="rId14" xr:uid="{FD6529AF-A4EA-414F-97E2-932C283B5364}"/>
    <hyperlink ref="G31" r:id="rId15" xr:uid="{89BB65D7-44A5-4653-A48E-91C175F04847}"/>
    <hyperlink ref="G32" r:id="rId16" xr:uid="{2910F9EC-D093-41AE-B6EA-EAA1A7E43029}"/>
    <hyperlink ref="G17" r:id="rId17" xr:uid="{049AA6F8-DDAA-4D45-BD5B-FCB54C022312}"/>
    <hyperlink ref="G18" r:id="rId18" xr:uid="{F62466E7-86FD-430D-91B6-026D2134A461}"/>
    <hyperlink ref="G29" r:id="rId19" xr:uid="{F74E3FD2-6122-420C-9B42-5B6B68916122}"/>
    <hyperlink ref="G37:G38" r:id="rId20" display="Suppliers Product Packing Artwork Files" xr:uid="{63E6686F-7F69-4133-8742-5C3FE2AC6D19}"/>
  </hyperlinks>
  <pageMargins left="0.19685039370078741" right="0.19685039370078741" top="0" bottom="0" header="0.31496062992125984" footer="0.31496062992125984"/>
  <pageSetup paperSize="9" scale="50" fitToHeight="0" orientation="landscape"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DFE11-0FCE-42CF-A985-DC191EF092A1}">
  <sheetPr codeName="Sheet18">
    <pageSetUpPr fitToPage="1"/>
  </sheetPr>
  <dimension ref="A1:L48"/>
  <sheetViews>
    <sheetView topLeftCell="H1" zoomScale="90" zoomScaleNormal="90" workbookViewId="0">
      <selection activeCell="L3" sqref="L3"/>
    </sheetView>
  </sheetViews>
  <sheetFormatPr defaultColWidth="9.140625" defaultRowHeight="11.25"/>
  <cols>
    <col min="1" max="1" width="9.140625" style="77"/>
    <col min="2" max="2" width="21.7109375" style="77" customWidth="1"/>
    <col min="3" max="3" width="33" style="77" customWidth="1"/>
    <col min="4" max="5" width="14.140625" style="77" bestFit="1" customWidth="1"/>
    <col min="6" max="6" width="19" style="77" customWidth="1"/>
    <col min="7" max="7" width="31.140625" style="77" customWidth="1"/>
    <col min="8" max="8" width="25.28515625" style="77" bestFit="1" customWidth="1"/>
    <col min="9" max="11" width="16.140625" style="77" customWidth="1"/>
    <col min="12" max="12" width="12.42578125" style="77" bestFit="1" customWidth="1"/>
    <col min="13" max="16384" width="9.140625" style="77"/>
  </cols>
  <sheetData>
    <row r="1" spans="1:12" ht="81.599999999999994" customHeight="1">
      <c r="B1" s="577"/>
      <c r="C1" s="578"/>
      <c r="D1" s="578"/>
      <c r="E1" s="578"/>
      <c r="F1" s="578"/>
      <c r="G1" s="578"/>
      <c r="H1" s="578"/>
      <c r="I1" s="578"/>
      <c r="J1" s="578"/>
      <c r="K1" s="578"/>
      <c r="L1" s="579"/>
    </row>
    <row r="2" spans="1:12" ht="25.5" customHeight="1">
      <c r="B2" s="580" t="s">
        <v>332</v>
      </c>
      <c r="C2" s="581"/>
      <c r="D2" s="581"/>
      <c r="E2" s="581"/>
      <c r="F2" s="581"/>
      <c r="G2" s="581"/>
      <c r="H2" s="581"/>
      <c r="I2" s="581"/>
      <c r="J2" s="581"/>
      <c r="K2" s="582"/>
      <c r="L2" s="583"/>
    </row>
    <row r="3" spans="1:12" s="296" customFormat="1" ht="30.75" customHeight="1">
      <c r="A3"/>
      <c r="B3" s="39" t="s">
        <v>23</v>
      </c>
      <c r="C3" s="58"/>
      <c r="D3" s="216"/>
      <c r="E3" s="596"/>
      <c r="F3" s="597"/>
      <c r="G3" s="597"/>
      <c r="H3" s="597"/>
      <c r="I3" s="597"/>
      <c r="J3" s="597"/>
      <c r="K3" s="141" t="s">
        <v>170</v>
      </c>
      <c r="L3" s="140">
        <v>43790</v>
      </c>
    </row>
    <row r="4" spans="1:12" s="296" customFormat="1" ht="15.75" customHeight="1">
      <c r="A4"/>
      <c r="B4" s="41" t="s">
        <v>3</v>
      </c>
      <c r="C4" s="21"/>
      <c r="D4" s="278"/>
      <c r="E4" s="598"/>
      <c r="F4" s="599"/>
      <c r="G4" s="599"/>
      <c r="H4" s="599"/>
      <c r="I4" s="599"/>
      <c r="J4" s="599"/>
      <c r="K4" s="183" t="s">
        <v>5</v>
      </c>
      <c r="L4" s="328"/>
    </row>
    <row r="5" spans="1:12" s="296" customFormat="1" ht="18" customHeight="1">
      <c r="A5"/>
      <c r="B5" s="42" t="s">
        <v>72</v>
      </c>
      <c r="C5" s="59"/>
      <c r="D5" s="279"/>
      <c r="E5" s="598"/>
      <c r="F5" s="599"/>
      <c r="G5" s="599"/>
      <c r="H5" s="599"/>
      <c r="I5" s="599"/>
      <c r="J5" s="599"/>
      <c r="K5" s="462"/>
      <c r="L5" s="594"/>
    </row>
    <row r="6" spans="1:12" s="296" customFormat="1" ht="15.75" customHeight="1">
      <c r="A6"/>
      <c r="B6" s="43" t="s">
        <v>312</v>
      </c>
      <c r="C6" s="163"/>
      <c r="D6" s="280"/>
      <c r="E6" s="598"/>
      <c r="F6" s="599"/>
      <c r="G6" s="599"/>
      <c r="H6" s="599"/>
      <c r="I6" s="599"/>
      <c r="J6" s="599"/>
      <c r="K6" s="595"/>
      <c r="L6" s="403"/>
    </row>
    <row r="7" spans="1:12" s="296" customFormat="1" ht="15.75" customHeight="1">
      <c r="A7"/>
      <c r="B7" s="72"/>
      <c r="C7" s="73"/>
      <c r="D7" s="278"/>
      <c r="E7" s="600"/>
      <c r="F7" s="601"/>
      <c r="G7" s="601"/>
      <c r="H7" s="601"/>
      <c r="I7" s="601"/>
      <c r="J7" s="601"/>
      <c r="K7" s="404"/>
      <c r="L7" s="405"/>
    </row>
    <row r="8" spans="1:12" s="105" customFormat="1" ht="22.5">
      <c r="B8" s="121" t="s">
        <v>18</v>
      </c>
      <c r="C8" s="78" t="s">
        <v>173</v>
      </c>
      <c r="D8" s="78" t="s">
        <v>550</v>
      </c>
      <c r="E8" s="78" t="s">
        <v>174</v>
      </c>
      <c r="F8" s="78" t="s">
        <v>175</v>
      </c>
      <c r="G8" s="78" t="s">
        <v>176</v>
      </c>
      <c r="H8" s="78" t="s">
        <v>177</v>
      </c>
      <c r="I8" s="78" t="s">
        <v>178</v>
      </c>
      <c r="J8" s="78" t="s">
        <v>179</v>
      </c>
      <c r="K8" s="78" t="s">
        <v>631</v>
      </c>
      <c r="L8" s="122" t="s">
        <v>180</v>
      </c>
    </row>
    <row r="9" spans="1:12" s="106" customFormat="1">
      <c r="B9" s="123" t="s">
        <v>181</v>
      </c>
      <c r="C9" s="80"/>
      <c r="D9" s="80"/>
      <c r="E9" s="80"/>
      <c r="F9" s="80"/>
      <c r="G9" s="80"/>
      <c r="H9" s="80"/>
      <c r="I9" s="80"/>
      <c r="J9" s="80"/>
      <c r="K9" s="80"/>
      <c r="L9" s="124"/>
    </row>
    <row r="10" spans="1:12" s="107" customFormat="1" ht="34.15" customHeight="1">
      <c r="B10" s="125" t="s">
        <v>606</v>
      </c>
      <c r="C10" s="83" t="s">
        <v>607</v>
      </c>
      <c r="D10" s="83"/>
      <c r="E10" s="83" t="s">
        <v>608</v>
      </c>
      <c r="F10" s="83"/>
      <c r="G10" s="83"/>
      <c r="H10" s="111"/>
      <c r="I10" s="111"/>
      <c r="J10" s="111"/>
      <c r="K10" s="111"/>
      <c r="L10" s="126"/>
    </row>
    <row r="11" spans="1:12" s="106" customFormat="1" ht="33.75" customHeight="1">
      <c r="B11" s="128" t="s">
        <v>199</v>
      </c>
      <c r="C11" s="80"/>
      <c r="D11" s="80"/>
      <c r="E11" s="80"/>
      <c r="F11" s="80"/>
      <c r="G11" s="80"/>
      <c r="H11" s="88"/>
      <c r="I11" s="88"/>
      <c r="J11" s="88"/>
      <c r="K11" s="80"/>
      <c r="L11" s="124"/>
    </row>
    <row r="12" spans="1:12" s="103" customFormat="1">
      <c r="B12" s="129" t="s">
        <v>200</v>
      </c>
      <c r="C12" s="86"/>
      <c r="D12" s="86"/>
      <c r="E12" s="86"/>
      <c r="F12" s="86"/>
      <c r="G12" s="86"/>
      <c r="H12" s="321"/>
      <c r="I12" s="321"/>
      <c r="J12" s="321"/>
      <c r="K12" s="85"/>
      <c r="L12" s="137"/>
    </row>
    <row r="13" spans="1:12" s="103" customFormat="1">
      <c r="B13" s="129" t="s">
        <v>201</v>
      </c>
      <c r="C13" s="86"/>
      <c r="D13" s="86"/>
      <c r="E13" s="86"/>
      <c r="F13" s="86"/>
      <c r="G13" s="86"/>
      <c r="H13" s="321"/>
      <c r="I13" s="321"/>
      <c r="J13" s="321"/>
      <c r="K13" s="80"/>
      <c r="L13" s="137"/>
    </row>
    <row r="14" spans="1:12" s="103" customFormat="1">
      <c r="B14" s="129" t="s">
        <v>202</v>
      </c>
      <c r="C14" s="86"/>
      <c r="D14" s="86"/>
      <c r="E14" s="86"/>
      <c r="F14" s="86"/>
      <c r="G14" s="86"/>
      <c r="H14" s="321"/>
      <c r="I14" s="321"/>
      <c r="J14" s="321"/>
      <c r="K14" s="85"/>
      <c r="L14" s="137"/>
    </row>
    <row r="15" spans="1:12" s="103" customFormat="1">
      <c r="B15" s="129" t="s">
        <v>203</v>
      </c>
      <c r="C15" s="86"/>
      <c r="D15" s="86"/>
      <c r="E15" s="86"/>
      <c r="F15" s="86"/>
      <c r="G15" s="86"/>
      <c r="H15" s="321"/>
      <c r="I15" s="321"/>
      <c r="J15" s="321"/>
      <c r="K15" s="85"/>
      <c r="L15" s="137"/>
    </row>
    <row r="16" spans="1:12" s="106" customFormat="1" ht="32.25" customHeight="1">
      <c r="B16" s="127" t="s">
        <v>223</v>
      </c>
      <c r="C16" s="92"/>
      <c r="D16" s="92"/>
      <c r="E16" s="92"/>
      <c r="F16" s="92"/>
      <c r="G16" s="92"/>
      <c r="H16" s="93"/>
      <c r="I16" s="118"/>
      <c r="J16" s="118"/>
      <c r="K16" s="87"/>
      <c r="L16" s="130"/>
    </row>
    <row r="17" spans="1:12" s="103" customFormat="1">
      <c r="B17" s="129" t="s">
        <v>609</v>
      </c>
      <c r="C17" s="94" t="s">
        <v>225</v>
      </c>
      <c r="D17" s="94"/>
      <c r="E17" s="94"/>
      <c r="F17" s="94"/>
      <c r="G17" s="95" t="s">
        <v>226</v>
      </c>
      <c r="H17" s="96"/>
      <c r="I17" s="97"/>
      <c r="J17" s="97"/>
      <c r="K17" s="189"/>
      <c r="L17" s="131"/>
    </row>
    <row r="18" spans="1:12" s="103" customFormat="1">
      <c r="B18" s="129" t="s">
        <v>610</v>
      </c>
      <c r="C18" s="94" t="s">
        <v>225</v>
      </c>
      <c r="D18" s="94"/>
      <c r="E18" s="94"/>
      <c r="F18" s="94"/>
      <c r="G18" s="95" t="s">
        <v>226</v>
      </c>
      <c r="H18" s="98"/>
      <c r="I18" s="97"/>
      <c r="J18" s="97"/>
      <c r="K18" s="321"/>
      <c r="L18" s="131"/>
    </row>
    <row r="19" spans="1:12" s="103" customFormat="1">
      <c r="B19" s="129" t="s">
        <v>611</v>
      </c>
      <c r="C19" s="94" t="s">
        <v>225</v>
      </c>
      <c r="D19" s="94"/>
      <c r="E19" s="94"/>
      <c r="F19" s="94"/>
      <c r="G19" s="95" t="s">
        <v>226</v>
      </c>
      <c r="H19" s="98"/>
      <c r="I19" s="97"/>
      <c r="J19" s="196"/>
      <c r="K19" s="88"/>
      <c r="L19" s="131"/>
    </row>
    <row r="20" spans="1:12" s="103" customFormat="1">
      <c r="B20" s="129" t="s">
        <v>612</v>
      </c>
      <c r="C20" s="94" t="s">
        <v>225</v>
      </c>
      <c r="D20" s="94"/>
      <c r="E20" s="94"/>
      <c r="F20" s="94"/>
      <c r="G20" s="95" t="s">
        <v>226</v>
      </c>
      <c r="H20" s="98"/>
      <c r="I20" s="97"/>
      <c r="J20" s="196"/>
      <c r="K20" s="321"/>
      <c r="L20" s="131"/>
    </row>
    <row r="21" spans="1:12" s="103" customFormat="1">
      <c r="B21" s="129" t="s">
        <v>613</v>
      </c>
      <c r="C21" s="94" t="s">
        <v>225</v>
      </c>
      <c r="D21" s="94"/>
      <c r="E21" s="94"/>
      <c r="F21" s="94"/>
      <c r="G21" s="95" t="s">
        <v>226</v>
      </c>
      <c r="H21" s="98"/>
      <c r="I21" s="97"/>
      <c r="J21" s="196"/>
      <c r="K21" s="321"/>
      <c r="L21" s="131"/>
    </row>
    <row r="22" spans="1:12" s="103" customFormat="1">
      <c r="B22" s="129" t="s">
        <v>614</v>
      </c>
      <c r="C22" s="94" t="s">
        <v>225</v>
      </c>
      <c r="D22" s="94"/>
      <c r="E22" s="94"/>
      <c r="F22" s="94"/>
      <c r="G22" s="95" t="s">
        <v>226</v>
      </c>
      <c r="H22" s="98"/>
      <c r="I22" s="97"/>
      <c r="J22" s="196"/>
      <c r="K22" s="321"/>
      <c r="L22" s="131"/>
    </row>
    <row r="23" spans="1:12" s="106" customFormat="1" ht="36.75" customHeight="1">
      <c r="B23" s="128" t="s">
        <v>238</v>
      </c>
      <c r="C23" s="92"/>
      <c r="D23" s="92"/>
      <c r="E23" s="92"/>
      <c r="F23" s="92"/>
      <c r="G23" s="92"/>
      <c r="H23" s="93"/>
      <c r="I23" s="119"/>
      <c r="J23" s="119"/>
      <c r="K23" s="321"/>
      <c r="L23" s="130"/>
    </row>
    <row r="24" spans="1:12" s="103" customFormat="1" ht="44.25" customHeight="1">
      <c r="B24" s="322" t="s">
        <v>279</v>
      </c>
      <c r="C24" s="320" t="s">
        <v>299</v>
      </c>
      <c r="D24" s="320"/>
      <c r="E24" s="320" t="s">
        <v>211</v>
      </c>
      <c r="F24" s="323" t="s">
        <v>212</v>
      </c>
      <c r="G24" s="112" t="s">
        <v>213</v>
      </c>
      <c r="H24" s="113" t="s">
        <v>509</v>
      </c>
      <c r="I24" s="321">
        <v>43260</v>
      </c>
      <c r="J24" s="321"/>
      <c r="K24" s="321"/>
      <c r="L24" s="137"/>
    </row>
    <row r="25" spans="1:12" s="103" customFormat="1" ht="22.5">
      <c r="B25" s="129" t="s">
        <v>339</v>
      </c>
      <c r="C25" s="320" t="s">
        <v>216</v>
      </c>
      <c r="D25" s="320"/>
      <c r="E25" s="320" t="s">
        <v>217</v>
      </c>
      <c r="F25" s="320" t="s">
        <v>218</v>
      </c>
      <c r="G25" s="90" t="s">
        <v>213</v>
      </c>
      <c r="H25" s="91" t="s">
        <v>540</v>
      </c>
      <c r="I25" s="117"/>
      <c r="J25" s="117"/>
      <c r="K25" s="321"/>
      <c r="L25" s="137"/>
    </row>
    <row r="26" spans="1:12" s="103" customFormat="1" ht="33.75">
      <c r="B26" s="319" t="s">
        <v>258</v>
      </c>
      <c r="C26" s="86" t="s">
        <v>259</v>
      </c>
      <c r="D26" s="86"/>
      <c r="E26" s="86"/>
      <c r="F26" s="86"/>
      <c r="G26" s="90" t="s">
        <v>213</v>
      </c>
      <c r="H26" s="86" t="s">
        <v>541</v>
      </c>
      <c r="I26" s="85"/>
      <c r="J26" s="85"/>
      <c r="K26" s="93"/>
      <c r="L26" s="131"/>
    </row>
    <row r="27" spans="1:12" s="103" customFormat="1" ht="43.9" customHeight="1">
      <c r="B27" s="319" t="s">
        <v>404</v>
      </c>
      <c r="C27" s="86" t="s">
        <v>292</v>
      </c>
      <c r="D27" s="86"/>
      <c r="E27" s="86"/>
      <c r="F27" s="86"/>
      <c r="G27" s="90" t="s">
        <v>213</v>
      </c>
      <c r="H27" s="86" t="s">
        <v>542</v>
      </c>
      <c r="I27" s="85"/>
      <c r="J27" s="85"/>
      <c r="K27" s="97"/>
      <c r="L27" s="131"/>
    </row>
    <row r="28" spans="1:12" s="103" customFormat="1" ht="45">
      <c r="B28" s="319" t="s">
        <v>405</v>
      </c>
      <c r="C28" s="86" t="s">
        <v>293</v>
      </c>
      <c r="D28" s="86"/>
      <c r="E28" s="86"/>
      <c r="F28" s="86"/>
      <c r="G28" s="90" t="s">
        <v>213</v>
      </c>
      <c r="H28" s="86" t="s">
        <v>542</v>
      </c>
      <c r="I28" s="102"/>
      <c r="J28" s="102"/>
      <c r="K28" s="97"/>
      <c r="L28" s="138"/>
    </row>
    <row r="29" spans="1:12" s="89" customFormat="1" ht="33.75">
      <c r="A29"/>
      <c r="B29" s="129" t="s">
        <v>344</v>
      </c>
      <c r="C29" s="86" t="s">
        <v>346</v>
      </c>
      <c r="D29" s="333"/>
      <c r="E29" s="333" t="s">
        <v>345</v>
      </c>
      <c r="F29" s="334" t="s">
        <v>347</v>
      </c>
      <c r="G29" s="90" t="s">
        <v>213</v>
      </c>
      <c r="H29" s="86" t="s">
        <v>543</v>
      </c>
      <c r="I29" s="335">
        <v>43186</v>
      </c>
      <c r="J29" s="335"/>
      <c r="K29" s="97"/>
      <c r="L29" s="126"/>
    </row>
    <row r="30" spans="1:12" s="89" customFormat="1" ht="35.25" customHeight="1">
      <c r="A30"/>
      <c r="B30" s="319" t="s">
        <v>360</v>
      </c>
      <c r="C30" s="86" t="s">
        <v>361</v>
      </c>
      <c r="D30" s="86"/>
      <c r="E30" s="86"/>
      <c r="F30" s="101"/>
      <c r="G30" s="112" t="s">
        <v>213</v>
      </c>
      <c r="H30" s="86" t="s">
        <v>520</v>
      </c>
      <c r="I30" s="115">
        <v>43315</v>
      </c>
      <c r="J30" s="114"/>
      <c r="K30" s="97"/>
      <c r="L30" s="132"/>
    </row>
    <row r="31" spans="1:12" s="89" customFormat="1" ht="23.25">
      <c r="A31"/>
      <c r="B31" s="129" t="s">
        <v>362</v>
      </c>
      <c r="C31" s="86" t="s">
        <v>246</v>
      </c>
      <c r="D31" s="86"/>
      <c r="E31" s="86"/>
      <c r="F31" s="116" t="s">
        <v>363</v>
      </c>
      <c r="G31" s="112" t="s">
        <v>213</v>
      </c>
      <c r="H31" s="86" t="s">
        <v>521</v>
      </c>
      <c r="I31" s="115">
        <v>43315</v>
      </c>
      <c r="J31" s="115"/>
      <c r="K31" s="97"/>
      <c r="L31" s="126"/>
    </row>
    <row r="32" spans="1:12" s="103" customFormat="1">
      <c r="B32" s="319" t="s">
        <v>265</v>
      </c>
      <c r="C32" s="86" t="s">
        <v>266</v>
      </c>
      <c r="D32" s="86"/>
      <c r="E32" s="86"/>
      <c r="F32" s="86"/>
      <c r="G32" s="90"/>
      <c r="H32" s="91"/>
      <c r="I32" s="85"/>
      <c r="J32" s="85"/>
      <c r="K32" s="97"/>
      <c r="L32" s="133"/>
    </row>
    <row r="33" spans="2:12" s="103" customFormat="1">
      <c r="B33" s="319" t="s">
        <v>267</v>
      </c>
      <c r="C33" s="86" t="s">
        <v>268</v>
      </c>
      <c r="D33" s="86"/>
      <c r="E33" s="86"/>
      <c r="F33" s="86"/>
      <c r="G33" s="90"/>
      <c r="H33" s="91"/>
      <c r="I33" s="323"/>
      <c r="J33" s="323"/>
      <c r="K33" s="97"/>
      <c r="L33" s="133"/>
    </row>
    <row r="34" spans="2:12" s="103" customFormat="1" ht="22.5">
      <c r="B34" s="129" t="s">
        <v>294</v>
      </c>
      <c r="C34" s="86" t="s">
        <v>295</v>
      </c>
      <c r="D34" s="323"/>
      <c r="E34" s="323"/>
      <c r="F34" s="86" t="s">
        <v>296</v>
      </c>
      <c r="G34" s="90" t="s">
        <v>213</v>
      </c>
      <c r="H34" s="86" t="s">
        <v>544</v>
      </c>
      <c r="I34" s="323"/>
      <c r="J34" s="323"/>
      <c r="K34" s="196"/>
      <c r="L34" s="133"/>
    </row>
    <row r="35" spans="2:12" s="103" customFormat="1" ht="22.5">
      <c r="B35" s="129" t="s">
        <v>297</v>
      </c>
      <c r="C35" s="86" t="s">
        <v>295</v>
      </c>
      <c r="D35" s="323"/>
      <c r="E35" s="323"/>
      <c r="F35" s="86" t="s">
        <v>348</v>
      </c>
      <c r="G35" s="90" t="s">
        <v>213</v>
      </c>
      <c r="H35" s="86" t="s">
        <v>544</v>
      </c>
      <c r="I35" s="321"/>
      <c r="J35" s="321"/>
      <c r="K35" s="196"/>
      <c r="L35" s="133"/>
    </row>
    <row r="36" spans="2:12" s="103" customFormat="1" ht="33.75">
      <c r="B36" s="319" t="s">
        <v>410</v>
      </c>
      <c r="C36" s="86" t="s">
        <v>411</v>
      </c>
      <c r="D36" s="86"/>
      <c r="E36" s="86"/>
      <c r="F36" s="86" t="s">
        <v>412</v>
      </c>
      <c r="G36" s="90" t="s">
        <v>213</v>
      </c>
      <c r="H36" s="86" t="s">
        <v>538</v>
      </c>
      <c r="I36" s="321">
        <v>43306</v>
      </c>
      <c r="J36" s="190"/>
      <c r="K36" s="93"/>
      <c r="L36" s="133"/>
    </row>
    <row r="37" spans="2:12" s="103" customFormat="1" ht="33.75">
      <c r="B37" s="319" t="s">
        <v>413</v>
      </c>
      <c r="C37" s="86" t="s">
        <v>414</v>
      </c>
      <c r="D37" s="86"/>
      <c r="E37" s="86"/>
      <c r="F37" s="86" t="s">
        <v>415</v>
      </c>
      <c r="G37" s="90" t="s">
        <v>213</v>
      </c>
      <c r="H37" s="86" t="s">
        <v>539</v>
      </c>
      <c r="I37" s="321">
        <v>43306</v>
      </c>
      <c r="J37" s="190"/>
      <c r="K37" s="321"/>
      <c r="L37" s="133"/>
    </row>
    <row r="38" spans="2:12" s="103" customFormat="1" ht="22.5">
      <c r="B38" s="319" t="s">
        <v>271</v>
      </c>
      <c r="C38" s="86" t="s">
        <v>272</v>
      </c>
      <c r="D38" s="86"/>
      <c r="E38" s="86"/>
      <c r="F38" s="86"/>
      <c r="G38" s="90" t="s">
        <v>213</v>
      </c>
      <c r="H38" s="86" t="s">
        <v>524</v>
      </c>
      <c r="I38" s="323"/>
      <c r="J38" s="323"/>
      <c r="K38" s="321"/>
      <c r="L38" s="133"/>
    </row>
    <row r="39" spans="2:12" s="103" customFormat="1" ht="22.5">
      <c r="B39" s="319" t="s">
        <v>273</v>
      </c>
      <c r="C39" s="86" t="s">
        <v>274</v>
      </c>
      <c r="D39" s="86"/>
      <c r="E39" s="86"/>
      <c r="F39" s="86"/>
      <c r="G39" s="90" t="s">
        <v>213</v>
      </c>
      <c r="H39" s="86" t="s">
        <v>524</v>
      </c>
      <c r="I39" s="110"/>
      <c r="J39" s="110"/>
      <c r="K39" s="321"/>
      <c r="L39" s="133"/>
    </row>
    <row r="40" spans="2:12" s="103" customFormat="1" ht="22.5">
      <c r="B40" s="319" t="s">
        <v>275</v>
      </c>
      <c r="C40" s="86" t="s">
        <v>266</v>
      </c>
      <c r="D40" s="86"/>
      <c r="E40" s="86"/>
      <c r="F40" s="86"/>
      <c r="G40" s="86"/>
      <c r="H40" s="86"/>
      <c r="I40" s="110"/>
      <c r="J40" s="110"/>
      <c r="K40" s="85"/>
      <c r="L40" s="133"/>
    </row>
    <row r="41" spans="2:12" s="103" customFormat="1" ht="22.5">
      <c r="B41" s="319" t="s">
        <v>276</v>
      </c>
      <c r="C41" s="86" t="s">
        <v>277</v>
      </c>
      <c r="D41" s="86"/>
      <c r="E41" s="86"/>
      <c r="F41" s="86"/>
      <c r="G41" s="86"/>
      <c r="H41" s="86"/>
      <c r="I41" s="110"/>
      <c r="J41" s="110"/>
      <c r="K41" s="85"/>
      <c r="L41" s="133"/>
    </row>
    <row r="42" spans="2:12" s="99" customFormat="1" ht="12" thickBot="1">
      <c r="B42" s="134" t="s">
        <v>278</v>
      </c>
      <c r="C42" s="135" t="s">
        <v>266</v>
      </c>
      <c r="D42" s="135"/>
      <c r="E42" s="135"/>
      <c r="F42" s="135"/>
      <c r="G42" s="135"/>
      <c r="H42" s="135"/>
      <c r="I42" s="139"/>
      <c r="J42" s="139"/>
      <c r="K42" s="102"/>
      <c r="L42" s="136"/>
    </row>
    <row r="43" spans="2:12" s="99" customFormat="1" ht="9" customHeight="1">
      <c r="B43" s="156"/>
      <c r="C43" s="155"/>
      <c r="D43" s="155"/>
      <c r="E43" s="155"/>
      <c r="F43" s="157"/>
      <c r="G43" s="157"/>
      <c r="H43" s="157"/>
      <c r="I43" s="158"/>
      <c r="J43" s="158"/>
      <c r="K43" s="28"/>
      <c r="L43" s="159"/>
    </row>
    <row r="44" spans="2:12" customFormat="1" ht="21" customHeight="1">
      <c r="B44" s="481"/>
      <c r="C44" s="482"/>
      <c r="D44" s="482"/>
      <c r="E44" s="482"/>
      <c r="F44" s="571" t="s">
        <v>49</v>
      </c>
      <c r="G44" s="571"/>
      <c r="H44" s="571"/>
      <c r="I44" s="571"/>
      <c r="J44" s="571"/>
      <c r="K44" s="572"/>
      <c r="L44" s="573"/>
    </row>
    <row r="45" spans="2:12" customFormat="1" ht="21" customHeight="1">
      <c r="B45" s="483"/>
      <c r="C45" s="570"/>
      <c r="D45" s="570"/>
      <c r="E45" s="570"/>
      <c r="F45" s="571"/>
      <c r="G45" s="571"/>
      <c r="H45" s="571"/>
      <c r="I45" s="571"/>
      <c r="J45" s="571"/>
      <c r="K45" s="572"/>
      <c r="L45" s="573"/>
    </row>
    <row r="46" spans="2:12" customFormat="1" ht="21" customHeight="1">
      <c r="B46" s="483"/>
      <c r="C46" s="570"/>
      <c r="D46" s="570"/>
      <c r="E46" s="570"/>
      <c r="F46" s="571"/>
      <c r="G46" s="571"/>
      <c r="H46" s="571"/>
      <c r="I46" s="571"/>
      <c r="J46" s="571"/>
      <c r="K46" s="572"/>
      <c r="L46" s="573"/>
    </row>
    <row r="47" spans="2:12" customFormat="1" ht="21" customHeight="1">
      <c r="B47" s="483"/>
      <c r="C47" s="570"/>
      <c r="D47" s="570"/>
      <c r="E47" s="570"/>
      <c r="F47" s="571"/>
      <c r="G47" s="571"/>
      <c r="H47" s="571"/>
      <c r="I47" s="571"/>
      <c r="J47" s="571"/>
      <c r="K47" s="572"/>
      <c r="L47" s="573"/>
    </row>
    <row r="48" spans="2:12" customFormat="1" ht="60.6" customHeight="1" thickBot="1">
      <c r="B48" s="485"/>
      <c r="C48" s="486"/>
      <c r="D48" s="486"/>
      <c r="E48" s="486"/>
      <c r="F48" s="574" t="s">
        <v>51</v>
      </c>
      <c r="G48" s="574"/>
      <c r="H48" s="574"/>
      <c r="I48" s="574"/>
      <c r="J48" s="574"/>
      <c r="K48" s="575"/>
      <c r="L48" s="576"/>
    </row>
  </sheetData>
  <mergeCells count="7">
    <mergeCell ref="B1:L1"/>
    <mergeCell ref="B2:L2"/>
    <mergeCell ref="B44:E48"/>
    <mergeCell ref="F44:L47"/>
    <mergeCell ref="F48:L48"/>
    <mergeCell ref="E3:J7"/>
    <mergeCell ref="K5:L7"/>
  </mergeCells>
  <hyperlinks>
    <hyperlink ref="G24" r:id="rId1" xr:uid="{2F7BAE39-E492-4388-8732-8DCB6FBB8D11}"/>
    <hyperlink ref="G25" r:id="rId2" xr:uid="{F2F4B190-DFA4-44E6-A240-9DF3B56E7037}"/>
    <hyperlink ref="G16:G17" r:id="rId3" display="Wash Care Labels AI files Link" xr:uid="{D9846078-1537-416D-954A-4767C4595121}"/>
    <hyperlink ref="G17" r:id="rId4" xr:uid="{BC4519C5-F891-484F-8501-867E7B1D3710}"/>
    <hyperlink ref="G18" r:id="rId5" xr:uid="{DBCDD86E-7016-45DA-BC59-E208E203AC8F}"/>
    <hyperlink ref="G26" r:id="rId6" xr:uid="{10D70531-BE33-4CFB-BDE5-BBA42423D72F}"/>
    <hyperlink ref="G27" r:id="rId7" xr:uid="{9B31DAF8-CDA6-4F90-8CE1-EB6CC5E388D2}"/>
    <hyperlink ref="G32:G33" r:id="rId8" display="Suppliers Product Packing Artwork Files" xr:uid="{2FAE0621-738B-4782-B168-A80FA2CE7EC0}"/>
    <hyperlink ref="G38:G39" r:id="rId9" display="Suppliers Product Packing Artwork Files" xr:uid="{02140FF4-F75B-4A4B-9062-59088F1DEA2E}"/>
    <hyperlink ref="G34" r:id="rId10" xr:uid="{819D57CF-249B-44B3-BBB7-D1248F3443EF}"/>
    <hyperlink ref="G29" r:id="rId11" xr:uid="{10D3467E-CB27-4A52-A704-4A7081EEC401}"/>
    <hyperlink ref="G35" r:id="rId12" xr:uid="{6A8AAC20-F860-4CA5-A17E-0892153EC47D}"/>
    <hyperlink ref="G19" r:id="rId13" xr:uid="{94B10C6A-81F1-49FD-A52F-DBA433E5249E}"/>
    <hyperlink ref="G20" r:id="rId14" xr:uid="{9BAC22DF-CFCA-4BD7-9266-BE7B17F26DEC}"/>
    <hyperlink ref="G30" r:id="rId15" xr:uid="{C1669370-7BC9-4604-AB55-B01D0EF11640}"/>
    <hyperlink ref="G31" r:id="rId16" xr:uid="{747D78CB-AC3A-4703-BF5F-A5291AB9712B}"/>
    <hyperlink ref="G28" r:id="rId17" xr:uid="{BA87A2B5-D8E7-4FB8-8CDE-E69BB353AB78}"/>
    <hyperlink ref="G36:G37" r:id="rId18" display="Suppliers Product Packing Artwork Files" xr:uid="{C37ACF3B-54D1-4670-A20A-9249AEAC6238}"/>
    <hyperlink ref="G21" r:id="rId19" xr:uid="{8B7A1E35-1726-4F77-B088-AE268BB98508}"/>
    <hyperlink ref="G22" r:id="rId20" xr:uid="{D114353C-0DDB-4C13-B90E-DDA74850A616}"/>
  </hyperlinks>
  <pageMargins left="0.19685039370078741" right="0.19685039370078741" top="0" bottom="0" header="0.31496062992125984" footer="0.31496062992125984"/>
  <pageSetup paperSize="9" scale="50" fitToHeight="0" orientation="landscape" r:id="rId21"/>
  <drawing r:id="rId2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65140-0FD7-4C63-A5FD-387BCA918EB2}">
  <sheetPr codeName="Sheet6">
    <pageSetUpPr fitToPage="1"/>
  </sheetPr>
  <dimension ref="A1:K70"/>
  <sheetViews>
    <sheetView topLeftCell="H1" zoomScale="120" zoomScaleNormal="120" workbookViewId="0">
      <selection activeCell="K3" sqref="K3"/>
    </sheetView>
  </sheetViews>
  <sheetFormatPr defaultColWidth="9.140625" defaultRowHeight="11.25"/>
  <cols>
    <col min="1" max="1" width="9.140625" style="77"/>
    <col min="2" max="2" width="21.7109375" style="77" customWidth="1"/>
    <col min="3" max="3" width="33" style="77" customWidth="1"/>
    <col min="4" max="4" width="6.85546875" style="286" bestFit="1" customWidth="1"/>
    <col min="5" max="5" width="15.85546875" style="77" bestFit="1" customWidth="1"/>
    <col min="6" max="6" width="19" style="77" customWidth="1"/>
    <col min="7" max="7" width="31.140625" style="77" customWidth="1"/>
    <col min="8" max="8" width="25.28515625" style="77" bestFit="1" customWidth="1"/>
    <col min="9" max="10" width="16.140625" style="77" customWidth="1"/>
    <col min="11" max="11" width="12.42578125" style="77" bestFit="1" customWidth="1"/>
    <col min="12" max="16384" width="9.140625" style="77"/>
  </cols>
  <sheetData>
    <row r="1" spans="1:11" ht="81.599999999999994" customHeight="1">
      <c r="B1" s="577"/>
      <c r="C1" s="578"/>
      <c r="D1" s="578"/>
      <c r="E1" s="578"/>
      <c r="F1" s="578"/>
      <c r="G1" s="578"/>
      <c r="H1" s="578"/>
      <c r="I1" s="578"/>
      <c r="J1" s="578"/>
      <c r="K1" s="579"/>
    </row>
    <row r="2" spans="1:11" ht="25.5" customHeight="1">
      <c r="B2" s="580" t="s">
        <v>335</v>
      </c>
      <c r="C2" s="581"/>
      <c r="D2" s="581"/>
      <c r="E2" s="581"/>
      <c r="F2" s="581"/>
      <c r="G2" s="581"/>
      <c r="H2" s="581"/>
      <c r="I2" s="581"/>
      <c r="J2" s="582"/>
      <c r="K2" s="583"/>
    </row>
    <row r="3" spans="1:11" s="9" customFormat="1" ht="30.75" customHeight="1">
      <c r="A3"/>
      <c r="B3" s="39" t="s">
        <v>23</v>
      </c>
      <c r="C3" s="58"/>
      <c r="D3" s="216"/>
      <c r="E3" s="415"/>
      <c r="F3" s="416"/>
      <c r="G3" s="416"/>
      <c r="H3" s="416"/>
      <c r="I3" s="416"/>
      <c r="J3" s="141" t="s">
        <v>170</v>
      </c>
      <c r="K3" s="140">
        <v>43790</v>
      </c>
    </row>
    <row r="4" spans="1:11" s="9" customFormat="1" ht="15.75" customHeight="1">
      <c r="A4"/>
      <c r="B4" s="41" t="s">
        <v>3</v>
      </c>
      <c r="C4" s="21"/>
      <c r="D4" s="278"/>
      <c r="E4" s="417"/>
      <c r="F4" s="591"/>
      <c r="G4" s="591"/>
      <c r="H4" s="591"/>
      <c r="I4" s="591"/>
      <c r="J4" s="183" t="s">
        <v>5</v>
      </c>
      <c r="K4" s="328"/>
    </row>
    <row r="5" spans="1:11" s="9" customFormat="1" ht="18" customHeight="1">
      <c r="A5"/>
      <c r="B5" s="42" t="s">
        <v>72</v>
      </c>
      <c r="C5" s="59"/>
      <c r="D5" s="279"/>
      <c r="E5" s="417"/>
      <c r="F5" s="591"/>
      <c r="G5" s="591"/>
      <c r="H5" s="591"/>
      <c r="I5" s="591"/>
      <c r="J5" s="462"/>
      <c r="K5" s="594"/>
    </row>
    <row r="6" spans="1:11" s="9" customFormat="1" ht="15.75" customHeight="1">
      <c r="A6"/>
      <c r="B6" s="43" t="s">
        <v>312</v>
      </c>
      <c r="C6" s="163"/>
      <c r="D6" s="280"/>
      <c r="E6" s="417"/>
      <c r="F6" s="591"/>
      <c r="G6" s="591"/>
      <c r="H6" s="591"/>
      <c r="I6" s="591"/>
      <c r="J6" s="595"/>
      <c r="K6" s="403"/>
    </row>
    <row r="7" spans="1:11" s="9" customFormat="1" ht="15.75" customHeight="1">
      <c r="A7"/>
      <c r="B7" s="72"/>
      <c r="C7" s="73"/>
      <c r="D7" s="278"/>
      <c r="E7" s="419"/>
      <c r="F7" s="420"/>
      <c r="G7" s="420"/>
      <c r="H7" s="420"/>
      <c r="I7" s="420"/>
      <c r="J7" s="404"/>
      <c r="K7" s="405"/>
    </row>
    <row r="8" spans="1:11" s="105" customFormat="1" ht="22.5">
      <c r="B8" s="121" t="s">
        <v>18</v>
      </c>
      <c r="C8" s="78" t="s">
        <v>173</v>
      </c>
      <c r="D8" s="78" t="s">
        <v>557</v>
      </c>
      <c r="E8" s="78" t="s">
        <v>174</v>
      </c>
      <c r="F8" s="78" t="s">
        <v>175</v>
      </c>
      <c r="G8" s="78" t="s">
        <v>176</v>
      </c>
      <c r="H8" s="78" t="s">
        <v>177</v>
      </c>
      <c r="I8" s="78" t="s">
        <v>179</v>
      </c>
      <c r="J8" s="78" t="s">
        <v>631</v>
      </c>
      <c r="K8" s="122" t="s">
        <v>180</v>
      </c>
    </row>
    <row r="9" spans="1:11" s="106" customFormat="1">
      <c r="B9" s="123" t="s">
        <v>181</v>
      </c>
      <c r="C9" s="80"/>
      <c r="D9" s="92"/>
      <c r="E9" s="80"/>
      <c r="F9" s="80"/>
      <c r="G9" s="80"/>
      <c r="H9" s="80"/>
      <c r="I9" s="80"/>
      <c r="J9" s="80"/>
      <c r="K9" s="124"/>
    </row>
    <row r="10" spans="1:11" s="107" customFormat="1" ht="34.15" customHeight="1">
      <c r="B10" s="125" t="s">
        <v>182</v>
      </c>
      <c r="C10" s="162" t="s">
        <v>311</v>
      </c>
      <c r="D10" s="281">
        <v>1</v>
      </c>
      <c r="E10" s="336" t="s">
        <v>616</v>
      </c>
      <c r="F10" s="83" t="s">
        <v>185</v>
      </c>
      <c r="G10" s="83"/>
      <c r="H10" s="111"/>
      <c r="I10" s="111"/>
      <c r="J10" s="111"/>
      <c r="K10" s="126"/>
    </row>
    <row r="11" spans="1:11" s="107" customFormat="1" ht="34.15" customHeight="1">
      <c r="B11" s="125" t="s">
        <v>182</v>
      </c>
      <c r="C11" s="162" t="s">
        <v>618</v>
      </c>
      <c r="D11" s="281">
        <v>1</v>
      </c>
      <c r="E11" s="336" t="s">
        <v>617</v>
      </c>
      <c r="F11" s="83" t="s">
        <v>185</v>
      </c>
      <c r="G11" s="83"/>
      <c r="H11" s="111"/>
      <c r="I11" s="111"/>
      <c r="J11" s="80"/>
      <c r="K11" s="126"/>
    </row>
    <row r="12" spans="1:11" s="106" customFormat="1" ht="36" customHeight="1">
      <c r="B12" s="127" t="s">
        <v>186</v>
      </c>
      <c r="C12" s="80"/>
      <c r="D12" s="92"/>
      <c r="E12" s="80"/>
      <c r="F12" s="80"/>
      <c r="G12" s="80"/>
      <c r="H12" s="80"/>
      <c r="I12" s="80"/>
      <c r="J12" s="85"/>
      <c r="K12" s="124"/>
    </row>
    <row r="13" spans="1:11" s="107" customFormat="1" ht="37.9" customHeight="1">
      <c r="B13" s="125" t="s">
        <v>187</v>
      </c>
      <c r="C13" s="83" t="s">
        <v>188</v>
      </c>
      <c r="D13" s="281">
        <v>1</v>
      </c>
      <c r="E13" s="83"/>
      <c r="F13" s="83" t="s">
        <v>189</v>
      </c>
      <c r="G13" s="83"/>
      <c r="H13" s="85"/>
      <c r="I13" s="85"/>
      <c r="J13" s="80"/>
      <c r="K13" s="126"/>
    </row>
    <row r="14" spans="1:11" s="106" customFormat="1" ht="36" customHeight="1">
      <c r="B14" s="127" t="s">
        <v>190</v>
      </c>
      <c r="C14" s="80"/>
      <c r="D14" s="92">
        <v>1</v>
      </c>
      <c r="E14" s="80"/>
      <c r="F14" s="80"/>
      <c r="G14" s="80"/>
      <c r="H14" s="80"/>
      <c r="I14" s="80"/>
      <c r="J14" s="85"/>
      <c r="K14" s="124"/>
    </row>
    <row r="15" spans="1:11" s="107" customFormat="1" ht="22.5">
      <c r="B15" s="125" t="s">
        <v>191</v>
      </c>
      <c r="C15" s="86" t="s">
        <v>192</v>
      </c>
      <c r="D15" s="323"/>
      <c r="E15" s="86" t="s">
        <v>193</v>
      </c>
      <c r="F15" s="86" t="s">
        <v>194</v>
      </c>
      <c r="G15" s="83"/>
      <c r="H15" s="85"/>
      <c r="I15" s="85"/>
      <c r="J15" s="85"/>
      <c r="K15" s="126"/>
    </row>
    <row r="16" spans="1:11" s="107" customFormat="1" ht="22.5">
      <c r="B16" s="125" t="s">
        <v>195</v>
      </c>
      <c r="C16" s="86" t="s">
        <v>196</v>
      </c>
      <c r="D16" s="323"/>
      <c r="E16" s="86" t="s">
        <v>193</v>
      </c>
      <c r="F16" s="86" t="s">
        <v>194</v>
      </c>
      <c r="G16" s="83"/>
      <c r="H16" s="85"/>
      <c r="I16" s="85"/>
      <c r="J16" s="87"/>
      <c r="K16" s="126"/>
    </row>
    <row r="17" spans="2:11" s="107" customFormat="1">
      <c r="B17" s="125" t="s">
        <v>197</v>
      </c>
      <c r="C17" s="83" t="s">
        <v>198</v>
      </c>
      <c r="D17" s="281"/>
      <c r="E17" s="83"/>
      <c r="F17" s="83"/>
      <c r="G17" s="83"/>
      <c r="H17" s="87"/>
      <c r="I17" s="87"/>
      <c r="J17" s="189"/>
      <c r="K17" s="126"/>
    </row>
    <row r="18" spans="2:11" s="106" customFormat="1" ht="17.649999999999999" customHeight="1">
      <c r="B18" s="127" t="s">
        <v>396</v>
      </c>
      <c r="C18" s="80"/>
      <c r="D18" s="92"/>
      <c r="E18" s="80"/>
      <c r="F18" s="80"/>
      <c r="G18" s="80"/>
      <c r="H18" s="80"/>
      <c r="I18" s="189"/>
      <c r="J18" s="321"/>
      <c r="K18" s="124"/>
    </row>
    <row r="19" spans="2:11" s="103" customFormat="1" ht="45">
      <c r="B19" s="129" t="s">
        <v>401</v>
      </c>
      <c r="C19" s="320" t="s">
        <v>220</v>
      </c>
      <c r="D19" s="323">
        <v>1</v>
      </c>
      <c r="E19" s="320"/>
      <c r="F19" s="320" t="s">
        <v>221</v>
      </c>
      <c r="G19" s="90" t="s">
        <v>213</v>
      </c>
      <c r="H19" s="329" t="s">
        <v>222</v>
      </c>
      <c r="I19" s="193"/>
      <c r="J19" s="88"/>
      <c r="K19" s="137"/>
    </row>
    <row r="20" spans="2:11" s="106" customFormat="1" ht="33.75" customHeight="1">
      <c r="B20" s="128" t="s">
        <v>199</v>
      </c>
      <c r="C20" s="80"/>
      <c r="D20" s="92"/>
      <c r="E20" s="80"/>
      <c r="F20" s="80"/>
      <c r="G20" s="80"/>
      <c r="H20" s="88"/>
      <c r="I20" s="88"/>
      <c r="J20" s="321"/>
      <c r="K20" s="124"/>
    </row>
    <row r="21" spans="2:11" s="103" customFormat="1">
      <c r="B21" s="129" t="s">
        <v>200</v>
      </c>
      <c r="C21" s="86"/>
      <c r="D21" s="323"/>
      <c r="E21" s="86"/>
      <c r="F21" s="86"/>
      <c r="G21" s="86"/>
      <c r="H21" s="321"/>
      <c r="I21" s="321"/>
      <c r="J21" s="321"/>
      <c r="K21" s="137"/>
    </row>
    <row r="22" spans="2:11" s="103" customFormat="1">
      <c r="B22" s="129" t="s">
        <v>201</v>
      </c>
      <c r="C22" s="86"/>
      <c r="D22" s="323"/>
      <c r="E22" s="86"/>
      <c r="F22" s="86"/>
      <c r="G22" s="86"/>
      <c r="H22" s="321"/>
      <c r="I22" s="321"/>
      <c r="J22" s="321"/>
      <c r="K22" s="137"/>
    </row>
    <row r="23" spans="2:11" s="103" customFormat="1">
      <c r="B23" s="129" t="s">
        <v>202</v>
      </c>
      <c r="C23" s="86"/>
      <c r="D23" s="323"/>
      <c r="E23" s="86"/>
      <c r="F23" s="86"/>
      <c r="G23" s="86"/>
      <c r="H23" s="321"/>
      <c r="I23" s="321"/>
      <c r="J23" s="321"/>
      <c r="K23" s="137"/>
    </row>
    <row r="24" spans="2:11" s="103" customFormat="1">
      <c r="B24" s="129" t="s">
        <v>203</v>
      </c>
      <c r="C24" s="86"/>
      <c r="D24" s="323"/>
      <c r="E24" s="86"/>
      <c r="F24" s="86"/>
      <c r="G24" s="86"/>
      <c r="H24" s="321"/>
      <c r="I24" s="321"/>
      <c r="J24" s="321"/>
      <c r="K24" s="137"/>
    </row>
    <row r="25" spans="2:11" s="103" customFormat="1" ht="22.5">
      <c r="B25" s="129" t="s">
        <v>204</v>
      </c>
      <c r="C25" s="320" t="s">
        <v>205</v>
      </c>
      <c r="D25" s="323"/>
      <c r="E25" s="320" t="s">
        <v>206</v>
      </c>
      <c r="F25" s="323" t="s">
        <v>207</v>
      </c>
      <c r="G25" s="82"/>
      <c r="H25" s="321"/>
      <c r="I25" s="321"/>
      <c r="J25" s="321"/>
      <c r="K25" s="137"/>
    </row>
    <row r="26" spans="2:11" s="103" customFormat="1" ht="22.5">
      <c r="B26" s="129" t="s">
        <v>204</v>
      </c>
      <c r="C26" s="320" t="s">
        <v>208</v>
      </c>
      <c r="D26" s="323"/>
      <c r="E26" s="320" t="s">
        <v>206</v>
      </c>
      <c r="F26" s="323" t="s">
        <v>207</v>
      </c>
      <c r="G26" s="82"/>
      <c r="H26" s="321"/>
      <c r="I26" s="321"/>
      <c r="J26" s="93"/>
      <c r="K26" s="137"/>
    </row>
    <row r="27" spans="2:11" s="106" customFormat="1" ht="32.25" customHeight="1">
      <c r="B27" s="127" t="s">
        <v>223</v>
      </c>
      <c r="C27" s="92"/>
      <c r="D27" s="92"/>
      <c r="E27" s="92"/>
      <c r="F27" s="92"/>
      <c r="G27" s="92"/>
      <c r="H27" s="93"/>
      <c r="I27" s="118"/>
      <c r="J27" s="97"/>
      <c r="K27" s="130"/>
    </row>
    <row r="28" spans="2:11" s="103" customFormat="1">
      <c r="B28" s="129" t="s">
        <v>232</v>
      </c>
      <c r="C28" s="94" t="s">
        <v>225</v>
      </c>
      <c r="D28" s="282"/>
      <c r="E28" s="94"/>
      <c r="F28" s="94"/>
      <c r="G28" s="95" t="s">
        <v>226</v>
      </c>
      <c r="H28" s="98" t="s">
        <v>233</v>
      </c>
      <c r="I28" s="114"/>
      <c r="J28" s="97"/>
      <c r="K28" s="131"/>
    </row>
    <row r="29" spans="2:11" s="103" customFormat="1">
      <c r="B29" s="129" t="s">
        <v>234</v>
      </c>
      <c r="C29" s="94" t="s">
        <v>225</v>
      </c>
      <c r="D29" s="282"/>
      <c r="E29" s="94"/>
      <c r="F29" s="94"/>
      <c r="G29" s="95" t="s">
        <v>226</v>
      </c>
      <c r="H29" s="98" t="s">
        <v>235</v>
      </c>
      <c r="I29" s="114"/>
      <c r="J29" s="97"/>
      <c r="K29" s="131"/>
    </row>
    <row r="30" spans="2:11" s="103" customFormat="1">
      <c r="B30" s="129" t="s">
        <v>408</v>
      </c>
      <c r="C30" s="94" t="s">
        <v>225</v>
      </c>
      <c r="D30" s="282"/>
      <c r="E30" s="94"/>
      <c r="F30" s="94"/>
      <c r="G30" s="95" t="s">
        <v>226</v>
      </c>
      <c r="H30" s="98" t="s">
        <v>407</v>
      </c>
      <c r="I30" s="115"/>
      <c r="J30" s="97"/>
      <c r="K30" s="131"/>
    </row>
    <row r="31" spans="2:11" s="103" customFormat="1">
      <c r="B31" s="129" t="s">
        <v>353</v>
      </c>
      <c r="C31" s="94" t="s">
        <v>225</v>
      </c>
      <c r="D31" s="282"/>
      <c r="E31" s="94"/>
      <c r="F31" s="94"/>
      <c r="G31" s="95" t="s">
        <v>226</v>
      </c>
      <c r="H31" s="98" t="s">
        <v>355</v>
      </c>
      <c r="I31" s="196"/>
      <c r="J31" s="97"/>
      <c r="K31" s="131"/>
    </row>
    <row r="32" spans="2:11" s="103" customFormat="1">
      <c r="B32" s="129" t="s">
        <v>354</v>
      </c>
      <c r="C32" s="94" t="s">
        <v>225</v>
      </c>
      <c r="D32" s="282"/>
      <c r="E32" s="94"/>
      <c r="F32" s="94"/>
      <c r="G32" s="95" t="s">
        <v>226</v>
      </c>
      <c r="H32" s="98" t="s">
        <v>356</v>
      </c>
      <c r="I32" s="196"/>
      <c r="J32" s="97"/>
      <c r="K32" s="131"/>
    </row>
    <row r="33" spans="2:11" s="106" customFormat="1" ht="36.75" customHeight="1">
      <c r="B33" s="128" t="s">
        <v>238</v>
      </c>
      <c r="C33" s="92"/>
      <c r="D33" s="92"/>
      <c r="E33" s="92"/>
      <c r="F33" s="92"/>
      <c r="G33" s="92"/>
      <c r="H33" s="93"/>
      <c r="I33" s="119"/>
      <c r="J33" s="97"/>
      <c r="K33" s="130"/>
    </row>
    <row r="34" spans="2:11" s="103" customFormat="1" ht="33.75">
      <c r="B34" s="587" t="s">
        <v>279</v>
      </c>
      <c r="C34" s="585" t="s">
        <v>299</v>
      </c>
      <c r="D34" s="323">
        <v>1</v>
      </c>
      <c r="E34" s="320" t="s">
        <v>211</v>
      </c>
      <c r="F34" s="323" t="s">
        <v>212</v>
      </c>
      <c r="G34" s="112" t="s">
        <v>213</v>
      </c>
      <c r="H34" s="113" t="s">
        <v>509</v>
      </c>
      <c r="I34" s="321"/>
      <c r="J34" s="196"/>
      <c r="K34" s="137"/>
    </row>
    <row r="35" spans="2:11" s="103" customFormat="1" ht="33.75">
      <c r="B35" s="587"/>
      <c r="C35" s="585"/>
      <c r="D35" s="323">
        <v>1</v>
      </c>
      <c r="E35" s="320" t="s">
        <v>211</v>
      </c>
      <c r="F35" s="323" t="s">
        <v>214</v>
      </c>
      <c r="G35" s="112" t="s">
        <v>213</v>
      </c>
      <c r="H35" s="113" t="s">
        <v>509</v>
      </c>
      <c r="I35" s="321"/>
      <c r="J35" s="196"/>
      <c r="K35" s="137"/>
    </row>
    <row r="36" spans="2:11" s="103" customFormat="1">
      <c r="B36" s="587" t="s">
        <v>281</v>
      </c>
      <c r="C36" s="585" t="s">
        <v>300</v>
      </c>
      <c r="D36" s="323">
        <v>1</v>
      </c>
      <c r="E36" s="320"/>
      <c r="F36" s="323" t="s">
        <v>212</v>
      </c>
      <c r="G36" s="602" t="s">
        <v>280</v>
      </c>
      <c r="H36" s="586"/>
      <c r="I36" s="321"/>
      <c r="J36" s="93"/>
      <c r="K36" s="137"/>
    </row>
    <row r="37" spans="2:11" s="103" customFormat="1">
      <c r="B37" s="587"/>
      <c r="C37" s="585"/>
      <c r="D37" s="323">
        <v>1</v>
      </c>
      <c r="E37" s="320"/>
      <c r="F37" s="323" t="s">
        <v>214</v>
      </c>
      <c r="G37" s="602"/>
      <c r="H37" s="586"/>
      <c r="I37" s="321"/>
      <c r="J37" s="321"/>
      <c r="K37" s="137"/>
    </row>
    <row r="38" spans="2:11" s="103" customFormat="1" ht="22.5">
      <c r="B38" s="129" t="s">
        <v>215</v>
      </c>
      <c r="C38" s="320" t="s">
        <v>216</v>
      </c>
      <c r="D38" s="323"/>
      <c r="E38" s="320" t="s">
        <v>217</v>
      </c>
      <c r="F38" s="320" t="s">
        <v>218</v>
      </c>
      <c r="G38" s="90" t="s">
        <v>213</v>
      </c>
      <c r="H38" s="91" t="s">
        <v>540</v>
      </c>
      <c r="I38" s="117"/>
      <c r="J38" s="321"/>
      <c r="K38" s="137"/>
    </row>
    <row r="39" spans="2:11" s="103" customFormat="1" ht="33.75">
      <c r="B39" s="319" t="s">
        <v>258</v>
      </c>
      <c r="C39" s="86" t="s">
        <v>259</v>
      </c>
      <c r="D39" s="323">
        <v>1</v>
      </c>
      <c r="E39" s="86"/>
      <c r="F39" s="86"/>
      <c r="G39" s="90" t="s">
        <v>213</v>
      </c>
      <c r="H39" s="86" t="s">
        <v>530</v>
      </c>
      <c r="I39" s="85"/>
      <c r="J39" s="321"/>
      <c r="K39" s="131"/>
    </row>
    <row r="40" spans="2:11" s="103" customFormat="1" ht="33.75">
      <c r="B40" s="319" t="s">
        <v>404</v>
      </c>
      <c r="C40" s="86" t="s">
        <v>292</v>
      </c>
      <c r="D40" s="323">
        <v>1</v>
      </c>
      <c r="E40" s="86"/>
      <c r="F40" s="86"/>
      <c r="G40" s="90" t="s">
        <v>213</v>
      </c>
      <c r="H40" s="86" t="s">
        <v>531</v>
      </c>
      <c r="I40" s="85"/>
      <c r="J40" s="85"/>
      <c r="K40" s="131"/>
    </row>
    <row r="41" spans="2:11" s="103" customFormat="1" ht="45">
      <c r="B41" s="319" t="s">
        <v>405</v>
      </c>
      <c r="C41" s="86" t="s">
        <v>293</v>
      </c>
      <c r="D41" s="323">
        <v>1</v>
      </c>
      <c r="E41" s="86"/>
      <c r="F41" s="86"/>
      <c r="G41" s="90" t="s">
        <v>213</v>
      </c>
      <c r="H41" s="86" t="s">
        <v>532</v>
      </c>
      <c r="I41" s="102"/>
      <c r="J41" s="85"/>
      <c r="K41" s="138"/>
    </row>
    <row r="42" spans="2:11" s="103" customFormat="1" ht="33.75">
      <c r="B42" s="319" t="s">
        <v>546</v>
      </c>
      <c r="C42" s="86"/>
      <c r="D42" s="283">
        <v>1</v>
      </c>
      <c r="E42" s="219" t="s">
        <v>372</v>
      </c>
      <c r="F42" s="86"/>
      <c r="G42" s="90" t="s">
        <v>213</v>
      </c>
      <c r="H42" s="86" t="s">
        <v>547</v>
      </c>
      <c r="I42" s="190"/>
      <c r="J42" s="102"/>
      <c r="K42" s="131"/>
    </row>
    <row r="43" spans="2:11" s="103" customFormat="1" ht="33.75">
      <c r="B43" s="129" t="s">
        <v>545</v>
      </c>
      <c r="C43" s="86" t="s">
        <v>548</v>
      </c>
      <c r="D43" s="323">
        <v>2</v>
      </c>
      <c r="E43" s="323"/>
      <c r="F43" s="86" t="s">
        <v>549</v>
      </c>
      <c r="G43" s="90" t="s">
        <v>213</v>
      </c>
      <c r="H43" s="86" t="s">
        <v>537</v>
      </c>
      <c r="I43" s="320"/>
      <c r="J43" s="28"/>
      <c r="K43" s="133"/>
    </row>
    <row r="44" spans="2:11" s="103" customFormat="1" ht="33.75">
      <c r="B44" s="129" t="s">
        <v>551</v>
      </c>
      <c r="C44" s="86" t="s">
        <v>555</v>
      </c>
      <c r="D44" s="323">
        <v>1</v>
      </c>
      <c r="E44" s="323"/>
      <c r="F44" s="86" t="s">
        <v>298</v>
      </c>
      <c r="G44" s="90" t="s">
        <v>213</v>
      </c>
      <c r="H44" s="86" t="s">
        <v>553</v>
      </c>
      <c r="I44" s="190"/>
      <c r="J44" s="326"/>
      <c r="K44" s="133"/>
    </row>
    <row r="45" spans="2:11" s="103" customFormat="1" ht="33.75">
      <c r="B45" s="129" t="s">
        <v>552</v>
      </c>
      <c r="C45" s="86" t="s">
        <v>555</v>
      </c>
      <c r="D45" s="323">
        <v>1</v>
      </c>
      <c r="E45" s="323"/>
      <c r="F45" s="86" t="s">
        <v>554</v>
      </c>
      <c r="G45" s="90" t="s">
        <v>213</v>
      </c>
      <c r="H45" s="86" t="s">
        <v>556</v>
      </c>
      <c r="I45" s="190"/>
      <c r="J45" s="326"/>
      <c r="K45" s="133"/>
    </row>
    <row r="46" spans="2:11" s="103" customFormat="1" ht="33.75">
      <c r="B46" s="319" t="s">
        <v>261</v>
      </c>
      <c r="C46" s="86"/>
      <c r="D46" s="323">
        <v>1</v>
      </c>
      <c r="E46" s="86"/>
      <c r="F46" s="86"/>
      <c r="G46" s="90" t="s">
        <v>213</v>
      </c>
      <c r="H46" s="86" t="s">
        <v>533</v>
      </c>
      <c r="I46" s="114"/>
      <c r="J46" s="325"/>
      <c r="K46" s="133"/>
    </row>
    <row r="47" spans="2:11" s="103" customFormat="1" ht="33.75">
      <c r="B47" s="319" t="s">
        <v>263</v>
      </c>
      <c r="C47" s="86" t="s">
        <v>264</v>
      </c>
      <c r="D47" s="323">
        <v>1</v>
      </c>
      <c r="E47" s="86"/>
      <c r="F47" s="86"/>
      <c r="G47" s="90" t="s">
        <v>213</v>
      </c>
      <c r="H47" s="91" t="s">
        <v>534</v>
      </c>
      <c r="I47" s="85"/>
      <c r="J47" s="324"/>
      <c r="K47" s="133"/>
    </row>
    <row r="48" spans="2:11" s="103" customFormat="1" ht="22.5">
      <c r="B48" s="129" t="s">
        <v>282</v>
      </c>
      <c r="C48" s="86" t="s">
        <v>240</v>
      </c>
      <c r="D48" s="323">
        <v>1</v>
      </c>
      <c r="E48" s="86"/>
      <c r="F48" s="116" t="s">
        <v>283</v>
      </c>
      <c r="G48" s="86"/>
      <c r="H48" s="321"/>
      <c r="I48" s="114"/>
      <c r="J48" s="325"/>
      <c r="K48" s="131"/>
    </row>
    <row r="49" spans="1:11" s="103" customFormat="1" ht="45">
      <c r="B49" s="129" t="s">
        <v>284</v>
      </c>
      <c r="C49" s="86" t="s">
        <v>285</v>
      </c>
      <c r="D49" s="323">
        <v>1</v>
      </c>
      <c r="E49" s="86"/>
      <c r="F49" s="109" t="s">
        <v>286</v>
      </c>
      <c r="G49" s="90" t="s">
        <v>213</v>
      </c>
      <c r="H49" s="100" t="s">
        <v>535</v>
      </c>
      <c r="I49" s="115"/>
      <c r="J49" s="330"/>
      <c r="K49" s="131"/>
    </row>
    <row r="50" spans="1:11" s="103" customFormat="1" ht="90">
      <c r="B50" s="129" t="s">
        <v>287</v>
      </c>
      <c r="C50" s="86" t="s">
        <v>288</v>
      </c>
      <c r="D50" s="323">
        <v>1</v>
      </c>
      <c r="E50" s="86"/>
      <c r="F50" s="109" t="s">
        <v>286</v>
      </c>
      <c r="G50" s="90" t="s">
        <v>213</v>
      </c>
      <c r="H50" s="86" t="s">
        <v>536</v>
      </c>
      <c r="I50" s="115"/>
      <c r="J50" s="326"/>
      <c r="K50" s="131"/>
    </row>
    <row r="51" spans="1:11" s="103" customFormat="1" ht="22.5">
      <c r="B51" s="129" t="s">
        <v>289</v>
      </c>
      <c r="C51" s="86" t="s">
        <v>290</v>
      </c>
      <c r="D51" s="323">
        <v>1</v>
      </c>
      <c r="E51" s="86"/>
      <c r="F51" s="109" t="s">
        <v>291</v>
      </c>
      <c r="G51" s="90"/>
      <c r="H51" s="86"/>
      <c r="I51" s="115"/>
      <c r="J51" s="326"/>
      <c r="K51" s="131"/>
    </row>
    <row r="52" spans="1:11" s="89" customFormat="1" ht="33.75">
      <c r="A52"/>
      <c r="B52" s="129" t="s">
        <v>301</v>
      </c>
      <c r="C52" s="86" t="s">
        <v>246</v>
      </c>
      <c r="D52" s="332">
        <v>1</v>
      </c>
      <c r="E52" s="333"/>
      <c r="F52" s="334" t="s">
        <v>302</v>
      </c>
      <c r="G52" s="90" t="s">
        <v>213</v>
      </c>
      <c r="H52" s="86" t="s">
        <v>536</v>
      </c>
      <c r="I52" s="335"/>
      <c r="J52" s="327"/>
      <c r="K52" s="126"/>
    </row>
    <row r="53" spans="1:11" s="89" customFormat="1" ht="35.25" customHeight="1">
      <c r="A53"/>
      <c r="B53" s="319" t="s">
        <v>360</v>
      </c>
      <c r="C53" s="86" t="s">
        <v>361</v>
      </c>
      <c r="D53" s="323">
        <v>1</v>
      </c>
      <c r="E53" s="86"/>
      <c r="F53" s="101"/>
      <c r="G53" s="112" t="s">
        <v>213</v>
      </c>
      <c r="H53" s="86" t="s">
        <v>520</v>
      </c>
      <c r="I53" s="114"/>
      <c r="J53" s="327"/>
      <c r="K53" s="132"/>
    </row>
    <row r="54" spans="1:11" s="89" customFormat="1" ht="23.25">
      <c r="A54"/>
      <c r="B54" s="129" t="s">
        <v>362</v>
      </c>
      <c r="C54" s="86" t="s">
        <v>246</v>
      </c>
      <c r="D54" s="323">
        <v>1</v>
      </c>
      <c r="E54" s="86"/>
      <c r="F54" s="116" t="s">
        <v>363</v>
      </c>
      <c r="G54" s="112" t="s">
        <v>213</v>
      </c>
      <c r="H54" s="86" t="s">
        <v>521</v>
      </c>
      <c r="I54" s="115"/>
      <c r="J54" s="327"/>
      <c r="K54" s="126"/>
    </row>
    <row r="55" spans="1:11" s="103" customFormat="1">
      <c r="B55" s="319" t="s">
        <v>265</v>
      </c>
      <c r="C55" s="86" t="s">
        <v>266</v>
      </c>
      <c r="D55" s="323">
        <v>1</v>
      </c>
      <c r="E55" s="86"/>
      <c r="F55" s="86"/>
      <c r="G55" s="90"/>
      <c r="H55" s="91"/>
      <c r="I55" s="85"/>
      <c r="J55" s="85"/>
      <c r="K55" s="133"/>
    </row>
    <row r="56" spans="1:11" s="103" customFormat="1">
      <c r="B56" s="319" t="s">
        <v>267</v>
      </c>
      <c r="C56" s="86" t="s">
        <v>268</v>
      </c>
      <c r="D56" s="323">
        <v>1</v>
      </c>
      <c r="E56" s="86"/>
      <c r="F56" s="86"/>
      <c r="G56" s="90"/>
      <c r="H56" s="91"/>
      <c r="I56" s="323"/>
      <c r="J56" s="85"/>
      <c r="K56" s="133"/>
    </row>
    <row r="57" spans="1:11" s="103" customFormat="1" ht="36" customHeight="1">
      <c r="B57" s="319" t="s">
        <v>584</v>
      </c>
      <c r="C57" s="86" t="s">
        <v>585</v>
      </c>
      <c r="D57" s="323">
        <v>1</v>
      </c>
      <c r="E57" s="86"/>
      <c r="F57" s="86" t="s">
        <v>586</v>
      </c>
      <c r="G57" s="90" t="s">
        <v>213</v>
      </c>
      <c r="H57" s="86" t="s">
        <v>587</v>
      </c>
      <c r="I57" s="190"/>
      <c r="J57" s="190"/>
      <c r="K57" s="133"/>
    </row>
    <row r="58" spans="1:11" s="103" customFormat="1" ht="33.75">
      <c r="B58" s="319" t="s">
        <v>410</v>
      </c>
      <c r="C58" s="86" t="s">
        <v>411</v>
      </c>
      <c r="D58" s="323">
        <v>1</v>
      </c>
      <c r="E58" s="86"/>
      <c r="F58" s="86" t="s">
        <v>560</v>
      </c>
      <c r="G58" s="90" t="s">
        <v>213</v>
      </c>
      <c r="H58" s="86" t="s">
        <v>561</v>
      </c>
      <c r="I58" s="190"/>
      <c r="J58" s="323"/>
      <c r="K58" s="133"/>
    </row>
    <row r="59" spans="1:11" s="103" customFormat="1" ht="33.75">
      <c r="B59" s="319" t="s">
        <v>413</v>
      </c>
      <c r="C59" s="86" t="s">
        <v>414</v>
      </c>
      <c r="D59" s="323">
        <v>1</v>
      </c>
      <c r="E59" s="86"/>
      <c r="F59" s="86" t="s">
        <v>559</v>
      </c>
      <c r="G59" s="90" t="s">
        <v>213</v>
      </c>
      <c r="H59" s="86" t="s">
        <v>558</v>
      </c>
      <c r="I59" s="190"/>
      <c r="J59" s="323"/>
      <c r="K59" s="133"/>
    </row>
    <row r="60" spans="1:11" s="103" customFormat="1" ht="22.5">
      <c r="B60" s="319" t="s">
        <v>271</v>
      </c>
      <c r="C60" s="86" t="s">
        <v>272</v>
      </c>
      <c r="D60" s="323"/>
      <c r="E60" s="86"/>
      <c r="F60" s="86"/>
      <c r="G60" s="90" t="s">
        <v>213</v>
      </c>
      <c r="H60" s="86" t="s">
        <v>524</v>
      </c>
      <c r="I60" s="323"/>
      <c r="J60" s="321"/>
      <c r="K60" s="133"/>
    </row>
    <row r="61" spans="1:11" s="103" customFormat="1" ht="22.5">
      <c r="B61" s="319" t="s">
        <v>273</v>
      </c>
      <c r="C61" s="86" t="s">
        <v>274</v>
      </c>
      <c r="D61" s="323"/>
      <c r="E61" s="86"/>
      <c r="F61" s="86"/>
      <c r="G61" s="90" t="s">
        <v>213</v>
      </c>
      <c r="H61" s="86" t="s">
        <v>524</v>
      </c>
      <c r="I61" s="110"/>
      <c r="J61" s="321"/>
      <c r="K61" s="133"/>
    </row>
    <row r="62" spans="1:11" s="103" customFormat="1" ht="22.5">
      <c r="B62" s="319" t="s">
        <v>275</v>
      </c>
      <c r="C62" s="86" t="s">
        <v>266</v>
      </c>
      <c r="D62" s="323"/>
      <c r="E62" s="86"/>
      <c r="F62" s="86"/>
      <c r="G62" s="86"/>
      <c r="H62" s="86"/>
      <c r="I62" s="110"/>
      <c r="J62" s="321"/>
      <c r="K62" s="133"/>
    </row>
    <row r="63" spans="1:11" s="103" customFormat="1" ht="22.5">
      <c r="B63" s="319" t="s">
        <v>276</v>
      </c>
      <c r="C63" s="86" t="s">
        <v>277</v>
      </c>
      <c r="D63" s="323"/>
      <c r="E63" s="86"/>
      <c r="F63" s="86"/>
      <c r="G63" s="86"/>
      <c r="H63" s="86"/>
      <c r="I63" s="110"/>
      <c r="J63" s="321"/>
      <c r="K63" s="133"/>
    </row>
    <row r="64" spans="1:11" s="99" customFormat="1" ht="12" thickBot="1">
      <c r="B64" s="134" t="s">
        <v>278</v>
      </c>
      <c r="C64" s="135" t="s">
        <v>266</v>
      </c>
      <c r="D64" s="284"/>
      <c r="E64" s="135"/>
      <c r="F64" s="135"/>
      <c r="G64" s="135"/>
      <c r="H64" s="135"/>
      <c r="I64" s="139"/>
      <c r="J64" s="323"/>
      <c r="K64" s="136"/>
    </row>
    <row r="65" spans="2:11" s="99" customFormat="1" ht="9" customHeight="1">
      <c r="B65" s="156"/>
      <c r="C65" s="155"/>
      <c r="D65" s="285"/>
      <c r="E65" s="155"/>
      <c r="F65" s="157"/>
      <c r="G65" s="157"/>
      <c r="H65" s="157"/>
      <c r="I65" s="158"/>
      <c r="J65" s="323"/>
      <c r="K65" s="159"/>
    </row>
    <row r="66" spans="2:11" customFormat="1" ht="21" customHeight="1">
      <c r="B66" s="481"/>
      <c r="C66" s="482"/>
      <c r="D66" s="482"/>
      <c r="E66" s="482"/>
      <c r="F66" s="571" t="s">
        <v>49</v>
      </c>
      <c r="G66" s="571"/>
      <c r="H66" s="571"/>
      <c r="I66" s="571"/>
      <c r="J66" s="572"/>
      <c r="K66" s="573"/>
    </row>
    <row r="67" spans="2:11" customFormat="1" ht="21" customHeight="1">
      <c r="B67" s="483"/>
      <c r="C67" s="570"/>
      <c r="D67" s="570"/>
      <c r="E67" s="570"/>
      <c r="F67" s="571"/>
      <c r="G67" s="571"/>
      <c r="H67" s="571"/>
      <c r="I67" s="571"/>
      <c r="J67" s="572"/>
      <c r="K67" s="573"/>
    </row>
    <row r="68" spans="2:11" customFormat="1" ht="21" customHeight="1">
      <c r="B68" s="483"/>
      <c r="C68" s="570"/>
      <c r="D68" s="570"/>
      <c r="E68" s="570"/>
      <c r="F68" s="571"/>
      <c r="G68" s="571"/>
      <c r="H68" s="571"/>
      <c r="I68" s="571"/>
      <c r="J68" s="572"/>
      <c r="K68" s="573"/>
    </row>
    <row r="69" spans="2:11" customFormat="1" ht="21" customHeight="1">
      <c r="B69" s="483"/>
      <c r="C69" s="570"/>
      <c r="D69" s="570"/>
      <c r="E69" s="570"/>
      <c r="F69" s="571"/>
      <c r="G69" s="571"/>
      <c r="H69" s="571"/>
      <c r="I69" s="571"/>
      <c r="J69" s="572"/>
      <c r="K69" s="573"/>
    </row>
    <row r="70" spans="2:11" customFormat="1" ht="60.6" customHeight="1" thickBot="1">
      <c r="B70" s="485"/>
      <c r="C70" s="486"/>
      <c r="D70" s="486"/>
      <c r="E70" s="486"/>
      <c r="F70" s="574" t="s">
        <v>51</v>
      </c>
      <c r="G70" s="574"/>
      <c r="H70" s="574"/>
      <c r="I70" s="574"/>
      <c r="J70" s="575"/>
      <c r="K70" s="576"/>
    </row>
  </sheetData>
  <mergeCells count="13">
    <mergeCell ref="B36:B37"/>
    <mergeCell ref="C36:C37"/>
    <mergeCell ref="G36:G37"/>
    <mergeCell ref="H36:H37"/>
    <mergeCell ref="B66:E70"/>
    <mergeCell ref="F66:K69"/>
    <mergeCell ref="F70:K70"/>
    <mergeCell ref="B1:K1"/>
    <mergeCell ref="B2:K2"/>
    <mergeCell ref="B34:B35"/>
    <mergeCell ref="C34:C35"/>
    <mergeCell ref="E3:I7"/>
    <mergeCell ref="J5:K7"/>
  </mergeCells>
  <hyperlinks>
    <hyperlink ref="G36:G37" r:id="rId1" display="Main Label Link" xr:uid="{6B45BEA8-46E2-4F46-A433-A46261F36D1A}"/>
    <hyperlink ref="G34" r:id="rId2" xr:uid="{2C81FCBE-CE40-4450-9A95-60F805D8E47A}"/>
    <hyperlink ref="G35" r:id="rId3" xr:uid="{4EC4B2F9-D49F-4F31-BE94-07D1081D27E6}"/>
    <hyperlink ref="G38" r:id="rId4" xr:uid="{8E1B9B94-0E13-4CA5-BDE3-B1BD71AE61E4}"/>
    <hyperlink ref="G27" r:id="rId5" display="Wash Care Labels AI files Link" xr:uid="{B64B0572-EF3A-4DE1-A840-B5505A88CD83}"/>
    <hyperlink ref="G28:G29" r:id="rId6" display="Product Suppliers Patterns and Guides" xr:uid="{EF915AAB-3A75-411B-9331-71D37AF64A37}"/>
    <hyperlink ref="G30" r:id="rId7" xr:uid="{FDE4302C-2B23-4EBB-BDA0-8B385D5A247A}"/>
    <hyperlink ref="G49" r:id="rId8" xr:uid="{68BFBC65-AB53-40A0-B182-4D0ECA4BE384}"/>
    <hyperlink ref="G39" r:id="rId9" xr:uid="{816339E1-705F-4911-B69D-0B245AF482C1}"/>
    <hyperlink ref="G40" r:id="rId10" xr:uid="{9863A26B-5C97-4C7B-A15C-AA094BDB9A93}"/>
    <hyperlink ref="G41:G46" r:id="rId11" display="Suppliers Product Packing Artwork Files" xr:uid="{8D302BF9-16A2-4FD5-9966-C952AA9076DB}"/>
    <hyperlink ref="G47:G56" r:id="rId12" display="Suppliers Product Packing Artwork Files" xr:uid="{B1B25045-618B-4184-B9D9-78CCE9AF6A31}"/>
    <hyperlink ref="G50" r:id="rId13" xr:uid="{F8096B85-CB94-4954-9766-57F1846E1BBB}"/>
    <hyperlink ref="G60:G61" r:id="rId14" display="Suppliers Product Packing Artwork Files" xr:uid="{D6B2DC26-3A98-4F71-9285-3D134BAF9787}"/>
    <hyperlink ref="G52" r:id="rId15" xr:uid="{2DB302FF-4013-46ED-B2E5-B9449C8341F4}"/>
    <hyperlink ref="G31" r:id="rId16" xr:uid="{002EF674-C573-4E3E-9B27-256E38D9D60A}"/>
    <hyperlink ref="G32" r:id="rId17" xr:uid="{66FA3C28-A211-449B-AE2F-52F9DCFC36B2}"/>
    <hyperlink ref="G53" r:id="rId18" xr:uid="{CAE07969-D4CB-45A0-9AF8-AB288460CE04}"/>
    <hyperlink ref="G54" r:id="rId19" xr:uid="{1EE8DE19-2F60-40B0-9288-B3C07E37FCCD}"/>
    <hyperlink ref="G19" r:id="rId20" xr:uid="{674D9F4E-5434-418A-A9B6-D862ECE0CDDF}"/>
    <hyperlink ref="G43" r:id="rId21" xr:uid="{FCFEDF40-92EF-4306-B0B9-91C71B7609EF}"/>
    <hyperlink ref="G44" r:id="rId22" xr:uid="{945899F2-180D-4DC0-B641-FB4133267E8D}"/>
    <hyperlink ref="G42" r:id="rId23" xr:uid="{FF15F74D-02B4-48CE-92E0-379650F7ED64}"/>
    <hyperlink ref="G45" r:id="rId24" xr:uid="{42D09C65-32D0-4516-A8BB-CADE354F8F46}"/>
    <hyperlink ref="G58:G59" r:id="rId25" display="Suppliers Product Packing Artwork Files" xr:uid="{361323DB-6623-4367-809E-E30D7C390B44}"/>
    <hyperlink ref="G57" r:id="rId26" xr:uid="{0867472D-41CD-4E73-8682-F1831BBAEF62}"/>
  </hyperlinks>
  <pageMargins left="0.19685039370078741" right="0.19685039370078741" top="0" bottom="0" header="0.31496062992125984" footer="0.31496062992125984"/>
  <pageSetup paperSize="9" scale="50" fitToHeight="0" orientation="landscape" r:id="rId27"/>
  <drawing r:id="rId2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D323F-81BF-4EF6-AA5F-3AEADE5FEE3B}">
  <sheetPr codeName="Sheet19">
    <pageSetUpPr fitToPage="1"/>
  </sheetPr>
  <dimension ref="A1:K67"/>
  <sheetViews>
    <sheetView topLeftCell="H1" zoomScale="120" zoomScaleNormal="120" workbookViewId="0">
      <selection activeCell="K3" sqref="K3"/>
    </sheetView>
  </sheetViews>
  <sheetFormatPr defaultColWidth="9.140625" defaultRowHeight="11.25"/>
  <cols>
    <col min="1" max="1" width="9.140625" style="77"/>
    <col min="2" max="2" width="21.7109375" style="77" customWidth="1"/>
    <col min="3" max="3" width="33" style="77" customWidth="1"/>
    <col min="4" max="4" width="6.85546875" style="286" bestFit="1" customWidth="1"/>
    <col min="5" max="5" width="15.85546875" style="77" bestFit="1" customWidth="1"/>
    <col min="6" max="6" width="19" style="77" customWidth="1"/>
    <col min="7" max="7" width="31.140625" style="77" customWidth="1"/>
    <col min="8" max="8" width="25.28515625" style="77" bestFit="1" customWidth="1"/>
    <col min="9" max="10" width="16.140625" style="77" customWidth="1"/>
    <col min="11" max="11" width="12.42578125" style="77" bestFit="1" customWidth="1"/>
    <col min="12" max="16384" width="9.140625" style="77"/>
  </cols>
  <sheetData>
    <row r="1" spans="1:11" ht="81.599999999999994" customHeight="1">
      <c r="B1" s="577"/>
      <c r="C1" s="578"/>
      <c r="D1" s="578"/>
      <c r="E1" s="578"/>
      <c r="F1" s="578"/>
      <c r="G1" s="578"/>
      <c r="H1" s="578"/>
      <c r="I1" s="578"/>
      <c r="J1" s="578"/>
      <c r="K1" s="579"/>
    </row>
    <row r="2" spans="1:11" ht="25.5" customHeight="1">
      <c r="B2" s="580" t="s">
        <v>629</v>
      </c>
      <c r="C2" s="581"/>
      <c r="D2" s="581"/>
      <c r="E2" s="581"/>
      <c r="F2" s="581"/>
      <c r="G2" s="581"/>
      <c r="H2" s="581"/>
      <c r="I2" s="581"/>
      <c r="J2" s="582"/>
      <c r="K2" s="583"/>
    </row>
    <row r="3" spans="1:11" s="318" customFormat="1" ht="30.75" customHeight="1">
      <c r="A3"/>
      <c r="B3" s="39" t="s">
        <v>23</v>
      </c>
      <c r="C3" s="58"/>
      <c r="D3" s="216"/>
      <c r="E3" s="415"/>
      <c r="F3" s="416"/>
      <c r="G3" s="416"/>
      <c r="H3" s="416"/>
      <c r="I3" s="416"/>
      <c r="J3" s="141" t="s">
        <v>170</v>
      </c>
      <c r="K3" s="140">
        <v>43790</v>
      </c>
    </row>
    <row r="4" spans="1:11" s="318" customFormat="1" ht="15.75" customHeight="1">
      <c r="A4"/>
      <c r="B4" s="41" t="s">
        <v>3</v>
      </c>
      <c r="C4" s="21"/>
      <c r="D4" s="278"/>
      <c r="E4" s="417"/>
      <c r="F4" s="591"/>
      <c r="G4" s="591"/>
      <c r="H4" s="591"/>
      <c r="I4" s="591"/>
      <c r="J4" s="183" t="s">
        <v>5</v>
      </c>
      <c r="K4" s="328"/>
    </row>
    <row r="5" spans="1:11" s="318" customFormat="1" ht="18" customHeight="1">
      <c r="A5"/>
      <c r="B5" s="42" t="s">
        <v>72</v>
      </c>
      <c r="C5" s="59"/>
      <c r="D5" s="279"/>
      <c r="E5" s="417"/>
      <c r="F5" s="591"/>
      <c r="G5" s="591"/>
      <c r="H5" s="591"/>
      <c r="I5" s="591"/>
      <c r="J5" s="462"/>
      <c r="K5" s="594"/>
    </row>
    <row r="6" spans="1:11" s="318" customFormat="1" ht="15.75" customHeight="1">
      <c r="A6"/>
      <c r="B6" s="43" t="s">
        <v>312</v>
      </c>
      <c r="C6" s="163"/>
      <c r="D6" s="280"/>
      <c r="E6" s="417"/>
      <c r="F6" s="591"/>
      <c r="G6" s="591"/>
      <c r="H6" s="591"/>
      <c r="I6" s="591"/>
      <c r="J6" s="595"/>
      <c r="K6" s="403"/>
    </row>
    <row r="7" spans="1:11" s="318" customFormat="1" ht="15.75" customHeight="1">
      <c r="A7"/>
      <c r="B7" s="72"/>
      <c r="C7" s="73"/>
      <c r="D7" s="278"/>
      <c r="E7" s="419"/>
      <c r="F7" s="420"/>
      <c r="G7" s="420"/>
      <c r="H7" s="420"/>
      <c r="I7" s="420"/>
      <c r="J7" s="404"/>
      <c r="K7" s="405"/>
    </row>
    <row r="8" spans="1:11" s="105" customFormat="1" ht="22.5">
      <c r="B8" s="121" t="s">
        <v>18</v>
      </c>
      <c r="C8" s="78" t="s">
        <v>173</v>
      </c>
      <c r="D8" s="78" t="s">
        <v>557</v>
      </c>
      <c r="E8" s="78" t="s">
        <v>174</v>
      </c>
      <c r="F8" s="78" t="s">
        <v>175</v>
      </c>
      <c r="G8" s="78" t="s">
        <v>176</v>
      </c>
      <c r="H8" s="78" t="s">
        <v>177</v>
      </c>
      <c r="I8" s="78" t="s">
        <v>179</v>
      </c>
      <c r="J8" s="78" t="s">
        <v>631</v>
      </c>
      <c r="K8" s="122" t="s">
        <v>180</v>
      </c>
    </row>
    <row r="9" spans="1:11" s="106" customFormat="1">
      <c r="B9" s="123" t="s">
        <v>181</v>
      </c>
      <c r="C9" s="80"/>
      <c r="D9" s="92"/>
      <c r="E9" s="80"/>
      <c r="F9" s="80"/>
      <c r="G9" s="80"/>
      <c r="H9" s="80"/>
      <c r="I9" s="80"/>
      <c r="J9" s="80"/>
      <c r="K9" s="124"/>
    </row>
    <row r="10" spans="1:11" s="107" customFormat="1" ht="34.15" customHeight="1">
      <c r="B10" s="125" t="s">
        <v>182</v>
      </c>
      <c r="C10" s="162" t="s">
        <v>311</v>
      </c>
      <c r="D10" s="281">
        <v>1</v>
      </c>
      <c r="E10" s="336" t="s">
        <v>616</v>
      </c>
      <c r="F10" s="83" t="s">
        <v>185</v>
      </c>
      <c r="G10" s="83"/>
      <c r="H10" s="111"/>
      <c r="I10" s="111"/>
      <c r="J10" s="111"/>
      <c r="K10" s="126"/>
    </row>
    <row r="11" spans="1:11" s="107" customFormat="1" ht="34.15" customHeight="1">
      <c r="B11" s="125" t="s">
        <v>182</v>
      </c>
      <c r="C11" s="162" t="s">
        <v>622</v>
      </c>
      <c r="D11" s="281">
        <v>1</v>
      </c>
      <c r="E11" s="336" t="s">
        <v>624</v>
      </c>
      <c r="F11" s="83" t="s">
        <v>185</v>
      </c>
      <c r="G11" s="83"/>
      <c r="H11" s="111"/>
      <c r="I11" s="111"/>
      <c r="J11" s="80"/>
      <c r="K11" s="126"/>
    </row>
    <row r="12" spans="1:11" s="107" customFormat="1" ht="34.15" customHeight="1">
      <c r="B12" s="125" t="s">
        <v>182</v>
      </c>
      <c r="C12" s="162" t="s">
        <v>623</v>
      </c>
      <c r="D12" s="281">
        <v>1</v>
      </c>
      <c r="E12" s="336" t="s">
        <v>625</v>
      </c>
      <c r="F12" s="83" t="s">
        <v>185</v>
      </c>
      <c r="G12" s="83"/>
      <c r="H12" s="111"/>
      <c r="I12" s="111"/>
      <c r="J12" s="85"/>
      <c r="K12" s="126"/>
    </row>
    <row r="13" spans="1:11" s="106" customFormat="1" ht="36" customHeight="1">
      <c r="B13" s="127" t="s">
        <v>186</v>
      </c>
      <c r="C13" s="80"/>
      <c r="D13" s="92"/>
      <c r="E13" s="80"/>
      <c r="F13" s="80"/>
      <c r="G13" s="80"/>
      <c r="H13" s="80"/>
      <c r="I13" s="80"/>
      <c r="J13" s="80"/>
      <c r="K13" s="124"/>
    </row>
    <row r="14" spans="1:11" s="107" customFormat="1" ht="37.9" customHeight="1">
      <c r="B14" s="125" t="s">
        <v>626</v>
      </c>
      <c r="C14" s="83" t="s">
        <v>188</v>
      </c>
      <c r="D14" s="281">
        <v>1</v>
      </c>
      <c r="E14" s="83"/>
      <c r="F14" s="83" t="s">
        <v>189</v>
      </c>
      <c r="G14" s="83"/>
      <c r="H14" s="85"/>
      <c r="I14" s="85"/>
      <c r="J14" s="85"/>
      <c r="K14" s="126"/>
    </row>
    <row r="15" spans="1:11" s="106" customFormat="1" ht="36" customHeight="1">
      <c r="B15" s="127" t="s">
        <v>190</v>
      </c>
      <c r="C15" s="80"/>
      <c r="D15" s="92">
        <v>1</v>
      </c>
      <c r="E15" s="80"/>
      <c r="F15" s="80"/>
      <c r="G15" s="80"/>
      <c r="H15" s="80"/>
      <c r="I15" s="80"/>
      <c r="J15" s="85"/>
      <c r="K15" s="124"/>
    </row>
    <row r="16" spans="1:11" s="107" customFormat="1" ht="22.5">
      <c r="B16" s="125" t="s">
        <v>191</v>
      </c>
      <c r="C16" s="86" t="s">
        <v>192</v>
      </c>
      <c r="D16" s="323"/>
      <c r="E16" s="86" t="s">
        <v>193</v>
      </c>
      <c r="F16" s="86" t="s">
        <v>194</v>
      </c>
      <c r="G16" s="83"/>
      <c r="H16" s="85"/>
      <c r="I16" s="85"/>
      <c r="J16" s="87"/>
      <c r="K16" s="126"/>
    </row>
    <row r="17" spans="2:11" s="107" customFormat="1" ht="22.5">
      <c r="B17" s="125" t="s">
        <v>195</v>
      </c>
      <c r="C17" s="86" t="s">
        <v>196</v>
      </c>
      <c r="D17" s="323"/>
      <c r="E17" s="86" t="s">
        <v>193</v>
      </c>
      <c r="F17" s="86" t="s">
        <v>194</v>
      </c>
      <c r="G17" s="83"/>
      <c r="H17" s="85"/>
      <c r="I17" s="85"/>
      <c r="J17" s="189"/>
      <c r="K17" s="126"/>
    </row>
    <row r="18" spans="2:11" s="107" customFormat="1">
      <c r="B18" s="125" t="s">
        <v>197</v>
      </c>
      <c r="C18" s="83" t="s">
        <v>198</v>
      </c>
      <c r="D18" s="281"/>
      <c r="E18" s="83"/>
      <c r="F18" s="83"/>
      <c r="G18" s="83"/>
      <c r="H18" s="87"/>
      <c r="I18" s="87"/>
      <c r="J18" s="321"/>
      <c r="K18" s="126"/>
    </row>
    <row r="19" spans="2:11" s="106" customFormat="1" ht="17.649999999999999" customHeight="1">
      <c r="B19" s="127" t="s">
        <v>396</v>
      </c>
      <c r="C19" s="80"/>
      <c r="D19" s="92"/>
      <c r="E19" s="80"/>
      <c r="F19" s="80"/>
      <c r="G19" s="80"/>
      <c r="H19" s="80"/>
      <c r="I19" s="189"/>
      <c r="J19" s="88"/>
      <c r="K19" s="124"/>
    </row>
    <row r="20" spans="2:11" s="103" customFormat="1" ht="45">
      <c r="B20" s="129" t="s">
        <v>627</v>
      </c>
      <c r="C20" s="320" t="s">
        <v>220</v>
      </c>
      <c r="D20" s="323">
        <v>1</v>
      </c>
      <c r="E20" s="320"/>
      <c r="F20" s="320" t="s">
        <v>221</v>
      </c>
      <c r="G20" s="90" t="s">
        <v>213</v>
      </c>
      <c r="H20" s="329" t="s">
        <v>222</v>
      </c>
      <c r="I20" s="193"/>
      <c r="J20" s="321"/>
      <c r="K20" s="137"/>
    </row>
    <row r="21" spans="2:11" s="106" customFormat="1" ht="33.75" customHeight="1">
      <c r="B21" s="128" t="s">
        <v>199</v>
      </c>
      <c r="C21" s="80"/>
      <c r="D21" s="92"/>
      <c r="E21" s="80"/>
      <c r="F21" s="80"/>
      <c r="G21" s="80"/>
      <c r="H21" s="88"/>
      <c r="I21" s="88"/>
      <c r="J21" s="321"/>
      <c r="K21" s="124"/>
    </row>
    <row r="22" spans="2:11" s="103" customFormat="1">
      <c r="B22" s="129" t="s">
        <v>200</v>
      </c>
      <c r="C22" s="86"/>
      <c r="D22" s="323"/>
      <c r="E22" s="86"/>
      <c r="F22" s="86"/>
      <c r="G22" s="86"/>
      <c r="H22" s="321"/>
      <c r="I22" s="321"/>
      <c r="J22" s="321"/>
      <c r="K22" s="137"/>
    </row>
    <row r="23" spans="2:11" s="103" customFormat="1">
      <c r="B23" s="129" t="s">
        <v>201</v>
      </c>
      <c r="C23" s="86"/>
      <c r="D23" s="323"/>
      <c r="E23" s="86"/>
      <c r="F23" s="86"/>
      <c r="G23" s="86"/>
      <c r="H23" s="321"/>
      <c r="I23" s="321"/>
      <c r="J23" s="321"/>
      <c r="K23" s="137"/>
    </row>
    <row r="24" spans="2:11" s="103" customFormat="1">
      <c r="B24" s="129" t="s">
        <v>202</v>
      </c>
      <c r="C24" s="86"/>
      <c r="D24" s="323"/>
      <c r="E24" s="86"/>
      <c r="F24" s="86"/>
      <c r="G24" s="86"/>
      <c r="H24" s="321"/>
      <c r="I24" s="321"/>
      <c r="J24" s="321"/>
      <c r="K24" s="137"/>
    </row>
    <row r="25" spans="2:11" s="103" customFormat="1">
      <c r="B25" s="129" t="s">
        <v>203</v>
      </c>
      <c r="C25" s="86"/>
      <c r="D25" s="323"/>
      <c r="E25" s="86"/>
      <c r="F25" s="86"/>
      <c r="G25" s="86"/>
      <c r="H25" s="321"/>
      <c r="I25" s="321"/>
      <c r="J25" s="321"/>
      <c r="K25" s="137"/>
    </row>
    <row r="26" spans="2:11" s="103" customFormat="1" ht="22.5">
      <c r="B26" s="129" t="s">
        <v>204</v>
      </c>
      <c r="C26" s="320" t="s">
        <v>205</v>
      </c>
      <c r="D26" s="323"/>
      <c r="E26" s="320" t="s">
        <v>206</v>
      </c>
      <c r="F26" s="323" t="s">
        <v>207</v>
      </c>
      <c r="G26" s="82"/>
      <c r="H26" s="321"/>
      <c r="I26" s="321"/>
      <c r="J26" s="93"/>
      <c r="K26" s="137"/>
    </row>
    <row r="27" spans="2:11" s="103" customFormat="1" ht="22.5">
      <c r="B27" s="129" t="s">
        <v>204</v>
      </c>
      <c r="C27" s="320" t="s">
        <v>208</v>
      </c>
      <c r="D27" s="323"/>
      <c r="E27" s="320" t="s">
        <v>206</v>
      </c>
      <c r="F27" s="323" t="s">
        <v>207</v>
      </c>
      <c r="G27" s="82"/>
      <c r="H27" s="321"/>
      <c r="I27" s="321"/>
      <c r="J27" s="97"/>
      <c r="K27" s="137"/>
    </row>
    <row r="28" spans="2:11" s="106" customFormat="1" ht="32.25" customHeight="1">
      <c r="B28" s="127" t="s">
        <v>223</v>
      </c>
      <c r="C28" s="92"/>
      <c r="D28" s="92"/>
      <c r="E28" s="92"/>
      <c r="F28" s="92"/>
      <c r="G28" s="92"/>
      <c r="H28" s="93"/>
      <c r="I28" s="118"/>
      <c r="J28" s="97"/>
      <c r="K28" s="130"/>
    </row>
    <row r="29" spans="2:11" s="103" customFormat="1">
      <c r="B29" s="129" t="s">
        <v>628</v>
      </c>
      <c r="C29" s="94" t="s">
        <v>225</v>
      </c>
      <c r="D29" s="282"/>
      <c r="E29" s="94"/>
      <c r="F29" s="94"/>
      <c r="G29" s="95" t="s">
        <v>226</v>
      </c>
      <c r="H29" s="98" t="s">
        <v>233</v>
      </c>
      <c r="I29" s="114"/>
      <c r="J29" s="97"/>
      <c r="K29" s="131"/>
    </row>
    <row r="30" spans="2:11" s="106" customFormat="1" ht="36.75" customHeight="1">
      <c r="B30" s="128" t="s">
        <v>238</v>
      </c>
      <c r="C30" s="92"/>
      <c r="D30" s="92"/>
      <c r="E30" s="92"/>
      <c r="F30" s="92"/>
      <c r="G30" s="92"/>
      <c r="H30" s="93"/>
      <c r="I30" s="119"/>
      <c r="J30" s="97"/>
      <c r="K30" s="130"/>
    </row>
    <row r="31" spans="2:11" s="103" customFormat="1" ht="33.75">
      <c r="B31" s="587" t="s">
        <v>279</v>
      </c>
      <c r="C31" s="585" t="s">
        <v>299</v>
      </c>
      <c r="D31" s="323">
        <v>1</v>
      </c>
      <c r="E31" s="320" t="s">
        <v>211</v>
      </c>
      <c r="F31" s="323" t="s">
        <v>212</v>
      </c>
      <c r="G31" s="112" t="s">
        <v>213</v>
      </c>
      <c r="H31" s="113" t="s">
        <v>509</v>
      </c>
      <c r="I31" s="321"/>
      <c r="J31" s="97"/>
      <c r="K31" s="137"/>
    </row>
    <row r="32" spans="2:11" s="103" customFormat="1" ht="33.75">
      <c r="B32" s="587"/>
      <c r="C32" s="585"/>
      <c r="D32" s="323">
        <v>1</v>
      </c>
      <c r="E32" s="320" t="s">
        <v>211</v>
      </c>
      <c r="F32" s="323" t="s">
        <v>214</v>
      </c>
      <c r="G32" s="112" t="s">
        <v>213</v>
      </c>
      <c r="H32" s="113" t="s">
        <v>509</v>
      </c>
      <c r="I32" s="321"/>
      <c r="J32" s="97"/>
      <c r="K32" s="137"/>
    </row>
    <row r="33" spans="2:11" s="103" customFormat="1">
      <c r="B33" s="587" t="s">
        <v>281</v>
      </c>
      <c r="C33" s="585" t="s">
        <v>300</v>
      </c>
      <c r="D33" s="323">
        <v>1</v>
      </c>
      <c r="E33" s="320"/>
      <c r="F33" s="323" t="s">
        <v>212</v>
      </c>
      <c r="G33" s="602" t="s">
        <v>280</v>
      </c>
      <c r="H33" s="586"/>
      <c r="I33" s="321"/>
      <c r="J33" s="97"/>
      <c r="K33" s="137"/>
    </row>
    <row r="34" spans="2:11" s="103" customFormat="1">
      <c r="B34" s="587"/>
      <c r="C34" s="585"/>
      <c r="D34" s="323">
        <v>1</v>
      </c>
      <c r="E34" s="320"/>
      <c r="F34" s="323" t="s">
        <v>214</v>
      </c>
      <c r="G34" s="602"/>
      <c r="H34" s="586"/>
      <c r="I34" s="321"/>
      <c r="J34" s="196"/>
      <c r="K34" s="137"/>
    </row>
    <row r="35" spans="2:11" s="103" customFormat="1" ht="22.5">
      <c r="B35" s="129" t="s">
        <v>215</v>
      </c>
      <c r="C35" s="320" t="s">
        <v>216</v>
      </c>
      <c r="D35" s="323"/>
      <c r="E35" s="320" t="s">
        <v>217</v>
      </c>
      <c r="F35" s="320" t="s">
        <v>218</v>
      </c>
      <c r="G35" s="90" t="s">
        <v>213</v>
      </c>
      <c r="H35" s="91" t="s">
        <v>540</v>
      </c>
      <c r="I35" s="117"/>
      <c r="J35" s="196"/>
      <c r="K35" s="137"/>
    </row>
    <row r="36" spans="2:11" s="103" customFormat="1" ht="33.75">
      <c r="B36" s="319" t="s">
        <v>258</v>
      </c>
      <c r="C36" s="86" t="s">
        <v>259</v>
      </c>
      <c r="D36" s="323">
        <v>1</v>
      </c>
      <c r="E36" s="86"/>
      <c r="F36" s="86"/>
      <c r="G36" s="90" t="s">
        <v>213</v>
      </c>
      <c r="H36" s="86" t="s">
        <v>530</v>
      </c>
      <c r="I36" s="85"/>
      <c r="J36" s="93"/>
      <c r="K36" s="131"/>
    </row>
    <row r="37" spans="2:11" s="103" customFormat="1" ht="33.75">
      <c r="B37" s="319" t="s">
        <v>404</v>
      </c>
      <c r="C37" s="86" t="s">
        <v>292</v>
      </c>
      <c r="D37" s="323">
        <v>1</v>
      </c>
      <c r="E37" s="86"/>
      <c r="F37" s="86"/>
      <c r="G37" s="90" t="s">
        <v>213</v>
      </c>
      <c r="H37" s="86" t="s">
        <v>531</v>
      </c>
      <c r="I37" s="85"/>
      <c r="J37" s="321"/>
      <c r="K37" s="131"/>
    </row>
    <row r="38" spans="2:11" s="103" customFormat="1" ht="45">
      <c r="B38" s="319" t="s">
        <v>405</v>
      </c>
      <c r="C38" s="86" t="s">
        <v>293</v>
      </c>
      <c r="D38" s="323">
        <v>1</v>
      </c>
      <c r="E38" s="86"/>
      <c r="F38" s="86"/>
      <c r="G38" s="90" t="s">
        <v>213</v>
      </c>
      <c r="H38" s="86" t="s">
        <v>532</v>
      </c>
      <c r="I38" s="102"/>
      <c r="J38" s="321"/>
      <c r="K38" s="138"/>
    </row>
    <row r="39" spans="2:11" s="103" customFormat="1" ht="33.75">
      <c r="B39" s="319" t="s">
        <v>546</v>
      </c>
      <c r="C39" s="86"/>
      <c r="D39" s="283">
        <v>1</v>
      </c>
      <c r="E39" s="219" t="s">
        <v>372</v>
      </c>
      <c r="F39" s="86"/>
      <c r="G39" s="90" t="s">
        <v>213</v>
      </c>
      <c r="H39" s="86" t="s">
        <v>547</v>
      </c>
      <c r="I39" s="190"/>
      <c r="J39" s="321"/>
      <c r="K39" s="131"/>
    </row>
    <row r="40" spans="2:11" s="103" customFormat="1" ht="33.75">
      <c r="B40" s="129" t="s">
        <v>545</v>
      </c>
      <c r="C40" s="86" t="s">
        <v>548</v>
      </c>
      <c r="D40" s="323">
        <v>2</v>
      </c>
      <c r="E40" s="323"/>
      <c r="F40" s="86" t="s">
        <v>549</v>
      </c>
      <c r="G40" s="90" t="s">
        <v>213</v>
      </c>
      <c r="H40" s="86" t="s">
        <v>537</v>
      </c>
      <c r="I40" s="320"/>
      <c r="J40" s="85"/>
      <c r="K40" s="133"/>
    </row>
    <row r="41" spans="2:11" s="103" customFormat="1" ht="33.75">
      <c r="B41" s="129" t="s">
        <v>551</v>
      </c>
      <c r="C41" s="86" t="s">
        <v>555</v>
      </c>
      <c r="D41" s="323">
        <v>1</v>
      </c>
      <c r="E41" s="323"/>
      <c r="F41" s="86" t="s">
        <v>298</v>
      </c>
      <c r="G41" s="90" t="s">
        <v>213</v>
      </c>
      <c r="H41" s="86" t="s">
        <v>553</v>
      </c>
      <c r="I41" s="190"/>
      <c r="J41" s="85"/>
      <c r="K41" s="133"/>
    </row>
    <row r="42" spans="2:11" s="103" customFormat="1" ht="33.75">
      <c r="B42" s="129" t="s">
        <v>552</v>
      </c>
      <c r="C42" s="86" t="s">
        <v>555</v>
      </c>
      <c r="D42" s="323">
        <v>1</v>
      </c>
      <c r="E42" s="323"/>
      <c r="F42" s="86" t="s">
        <v>554</v>
      </c>
      <c r="G42" s="90" t="s">
        <v>213</v>
      </c>
      <c r="H42" s="86" t="s">
        <v>556</v>
      </c>
      <c r="I42" s="190"/>
      <c r="J42" s="102"/>
      <c r="K42" s="133"/>
    </row>
    <row r="43" spans="2:11" s="103" customFormat="1" ht="33.75">
      <c r="B43" s="319" t="s">
        <v>261</v>
      </c>
      <c r="C43" s="86"/>
      <c r="D43" s="323">
        <v>1</v>
      </c>
      <c r="E43" s="86"/>
      <c r="F43" s="86"/>
      <c r="G43" s="90" t="s">
        <v>213</v>
      </c>
      <c r="H43" s="86" t="s">
        <v>533</v>
      </c>
      <c r="I43" s="114"/>
      <c r="J43" s="28"/>
      <c r="K43" s="133"/>
    </row>
    <row r="44" spans="2:11" s="103" customFormat="1" ht="33.75">
      <c r="B44" s="319" t="s">
        <v>263</v>
      </c>
      <c r="C44" s="86" t="s">
        <v>264</v>
      </c>
      <c r="D44" s="323">
        <v>1</v>
      </c>
      <c r="E44" s="86"/>
      <c r="F44" s="86"/>
      <c r="G44" s="90" t="s">
        <v>213</v>
      </c>
      <c r="H44" s="91" t="s">
        <v>534</v>
      </c>
      <c r="I44" s="85"/>
      <c r="J44" s="326"/>
      <c r="K44" s="133"/>
    </row>
    <row r="45" spans="2:11" s="103" customFormat="1" ht="22.5">
      <c r="B45" s="129" t="s">
        <v>282</v>
      </c>
      <c r="C45" s="86" t="s">
        <v>240</v>
      </c>
      <c r="D45" s="323">
        <v>1</v>
      </c>
      <c r="E45" s="86"/>
      <c r="F45" s="116" t="s">
        <v>283</v>
      </c>
      <c r="G45" s="86"/>
      <c r="H45" s="321"/>
      <c r="I45" s="114"/>
      <c r="J45" s="326"/>
      <c r="K45" s="131"/>
    </row>
    <row r="46" spans="2:11" s="103" customFormat="1" ht="45">
      <c r="B46" s="129" t="s">
        <v>284</v>
      </c>
      <c r="C46" s="86" t="s">
        <v>285</v>
      </c>
      <c r="D46" s="323">
        <v>1</v>
      </c>
      <c r="E46" s="86"/>
      <c r="F46" s="109" t="s">
        <v>286</v>
      </c>
      <c r="G46" s="90" t="s">
        <v>213</v>
      </c>
      <c r="H46" s="100" t="s">
        <v>535</v>
      </c>
      <c r="I46" s="115"/>
      <c r="J46" s="325"/>
      <c r="K46" s="131"/>
    </row>
    <row r="47" spans="2:11" s="103" customFormat="1" ht="90">
      <c r="B47" s="129" t="s">
        <v>287</v>
      </c>
      <c r="C47" s="86" t="s">
        <v>288</v>
      </c>
      <c r="D47" s="323">
        <v>1</v>
      </c>
      <c r="E47" s="86"/>
      <c r="F47" s="109" t="s">
        <v>286</v>
      </c>
      <c r="G47" s="90" t="s">
        <v>213</v>
      </c>
      <c r="H47" s="86" t="s">
        <v>536</v>
      </c>
      <c r="I47" s="115"/>
      <c r="J47" s="324"/>
      <c r="K47" s="131"/>
    </row>
    <row r="48" spans="2:11" s="103" customFormat="1" ht="22.5">
      <c r="B48" s="129" t="s">
        <v>289</v>
      </c>
      <c r="C48" s="86" t="s">
        <v>290</v>
      </c>
      <c r="D48" s="323">
        <v>1</v>
      </c>
      <c r="E48" s="86"/>
      <c r="F48" s="109" t="s">
        <v>291</v>
      </c>
      <c r="G48" s="90"/>
      <c r="H48" s="86"/>
      <c r="I48" s="115"/>
      <c r="J48" s="325"/>
      <c r="K48" s="131"/>
    </row>
    <row r="49" spans="1:11" s="89" customFormat="1" ht="33.75">
      <c r="A49"/>
      <c r="B49" s="129" t="s">
        <v>301</v>
      </c>
      <c r="C49" s="86" t="s">
        <v>246</v>
      </c>
      <c r="D49" s="332">
        <v>1</v>
      </c>
      <c r="E49" s="333"/>
      <c r="F49" s="334" t="s">
        <v>302</v>
      </c>
      <c r="G49" s="90" t="s">
        <v>213</v>
      </c>
      <c r="H49" s="86" t="s">
        <v>536</v>
      </c>
      <c r="I49" s="335"/>
      <c r="J49" s="330"/>
      <c r="K49" s="126"/>
    </row>
    <row r="50" spans="1:11" s="89" customFormat="1" ht="35.25" customHeight="1">
      <c r="A50"/>
      <c r="B50" s="319" t="s">
        <v>360</v>
      </c>
      <c r="C50" s="86" t="s">
        <v>361</v>
      </c>
      <c r="D50" s="323">
        <v>1</v>
      </c>
      <c r="E50" s="86"/>
      <c r="F50" s="101"/>
      <c r="G50" s="112" t="s">
        <v>213</v>
      </c>
      <c r="H50" s="86" t="s">
        <v>520</v>
      </c>
      <c r="I50" s="114"/>
      <c r="J50" s="326"/>
      <c r="K50" s="132"/>
    </row>
    <row r="51" spans="1:11" s="89" customFormat="1" ht="23.25">
      <c r="A51"/>
      <c r="B51" s="129" t="s">
        <v>362</v>
      </c>
      <c r="C51" s="86" t="s">
        <v>246</v>
      </c>
      <c r="D51" s="323">
        <v>1</v>
      </c>
      <c r="E51" s="86"/>
      <c r="F51" s="116" t="s">
        <v>363</v>
      </c>
      <c r="G51" s="112" t="s">
        <v>213</v>
      </c>
      <c r="H51" s="86" t="s">
        <v>521</v>
      </c>
      <c r="I51" s="115"/>
      <c r="J51" s="326"/>
      <c r="K51" s="126"/>
    </row>
    <row r="52" spans="1:11" s="103" customFormat="1">
      <c r="B52" s="319" t="s">
        <v>265</v>
      </c>
      <c r="C52" s="86" t="s">
        <v>266</v>
      </c>
      <c r="D52" s="323">
        <v>1</v>
      </c>
      <c r="E52" s="86"/>
      <c r="F52" s="86"/>
      <c r="G52" s="90"/>
      <c r="H52" s="91"/>
      <c r="I52" s="85"/>
      <c r="J52" s="327"/>
      <c r="K52" s="133"/>
    </row>
    <row r="53" spans="1:11" s="103" customFormat="1">
      <c r="B53" s="319" t="s">
        <v>267</v>
      </c>
      <c r="C53" s="86" t="s">
        <v>268</v>
      </c>
      <c r="D53" s="323">
        <v>1</v>
      </c>
      <c r="E53" s="86"/>
      <c r="F53" s="86"/>
      <c r="G53" s="90"/>
      <c r="H53" s="91"/>
      <c r="I53" s="323"/>
      <c r="J53" s="327"/>
      <c r="K53" s="133"/>
    </row>
    <row r="54" spans="1:11" s="103" customFormat="1" ht="36" customHeight="1">
      <c r="B54" s="319" t="s">
        <v>584</v>
      </c>
      <c r="C54" s="86" t="s">
        <v>585</v>
      </c>
      <c r="D54" s="323">
        <v>1</v>
      </c>
      <c r="E54" s="86"/>
      <c r="F54" s="86" t="s">
        <v>586</v>
      </c>
      <c r="G54" s="90" t="s">
        <v>213</v>
      </c>
      <c r="H54" s="86" t="s">
        <v>587</v>
      </c>
      <c r="I54" s="190"/>
      <c r="J54" s="327"/>
      <c r="K54" s="133"/>
    </row>
    <row r="55" spans="1:11" s="103" customFormat="1" ht="33.75">
      <c r="B55" s="319" t="s">
        <v>410</v>
      </c>
      <c r="C55" s="86" t="s">
        <v>411</v>
      </c>
      <c r="D55" s="323">
        <v>1</v>
      </c>
      <c r="E55" s="86"/>
      <c r="F55" s="86" t="s">
        <v>560</v>
      </c>
      <c r="G55" s="90" t="s">
        <v>213</v>
      </c>
      <c r="H55" s="86" t="s">
        <v>561</v>
      </c>
      <c r="I55" s="190"/>
      <c r="J55" s="85"/>
      <c r="K55" s="133"/>
    </row>
    <row r="56" spans="1:11" s="103" customFormat="1" ht="33.75">
      <c r="B56" s="319" t="s">
        <v>413</v>
      </c>
      <c r="C56" s="86" t="s">
        <v>414</v>
      </c>
      <c r="D56" s="323">
        <v>1</v>
      </c>
      <c r="E56" s="86"/>
      <c r="F56" s="86" t="s">
        <v>559</v>
      </c>
      <c r="G56" s="90" t="s">
        <v>213</v>
      </c>
      <c r="H56" s="86" t="s">
        <v>558</v>
      </c>
      <c r="I56" s="190"/>
      <c r="J56" s="85"/>
      <c r="K56" s="133"/>
    </row>
    <row r="57" spans="1:11" s="103" customFormat="1" ht="22.5">
      <c r="B57" s="319" t="s">
        <v>271</v>
      </c>
      <c r="C57" s="86" t="s">
        <v>272</v>
      </c>
      <c r="D57" s="323"/>
      <c r="E57" s="86"/>
      <c r="F57" s="86"/>
      <c r="G57" s="90" t="s">
        <v>213</v>
      </c>
      <c r="H57" s="86" t="s">
        <v>524</v>
      </c>
      <c r="I57" s="323"/>
      <c r="J57" s="190"/>
      <c r="K57" s="133"/>
    </row>
    <row r="58" spans="1:11" s="103" customFormat="1" ht="22.5">
      <c r="B58" s="319" t="s">
        <v>273</v>
      </c>
      <c r="C58" s="86" t="s">
        <v>274</v>
      </c>
      <c r="D58" s="323"/>
      <c r="E58" s="86"/>
      <c r="F58" s="86"/>
      <c r="G58" s="90" t="s">
        <v>213</v>
      </c>
      <c r="H58" s="86" t="s">
        <v>524</v>
      </c>
      <c r="I58" s="110"/>
      <c r="J58" s="323"/>
      <c r="K58" s="133"/>
    </row>
    <row r="59" spans="1:11" s="103" customFormat="1" ht="22.5">
      <c r="B59" s="319" t="s">
        <v>275</v>
      </c>
      <c r="C59" s="86" t="s">
        <v>266</v>
      </c>
      <c r="D59" s="323"/>
      <c r="E59" s="86"/>
      <c r="F59" s="86"/>
      <c r="G59" s="86"/>
      <c r="H59" s="86"/>
      <c r="I59" s="110"/>
      <c r="J59" s="323"/>
      <c r="K59" s="133"/>
    </row>
    <row r="60" spans="1:11" s="103" customFormat="1" ht="22.5">
      <c r="B60" s="319" t="s">
        <v>276</v>
      </c>
      <c r="C60" s="86" t="s">
        <v>277</v>
      </c>
      <c r="D60" s="323"/>
      <c r="E60" s="86"/>
      <c r="F60" s="86"/>
      <c r="G60" s="86"/>
      <c r="H60" s="86"/>
      <c r="I60" s="110"/>
      <c r="J60" s="321"/>
      <c r="K60" s="133"/>
    </row>
    <row r="61" spans="1:11" s="99" customFormat="1" ht="12" thickBot="1">
      <c r="B61" s="134" t="s">
        <v>278</v>
      </c>
      <c r="C61" s="135" t="s">
        <v>266</v>
      </c>
      <c r="D61" s="284"/>
      <c r="E61" s="135"/>
      <c r="F61" s="135"/>
      <c r="G61" s="135"/>
      <c r="H61" s="135"/>
      <c r="I61" s="139"/>
      <c r="J61" s="321"/>
      <c r="K61" s="136"/>
    </row>
    <row r="62" spans="1:11" s="99" customFormat="1" ht="9" customHeight="1">
      <c r="B62" s="156"/>
      <c r="C62" s="155"/>
      <c r="D62" s="285"/>
      <c r="E62" s="155"/>
      <c r="F62" s="157"/>
      <c r="G62" s="157"/>
      <c r="H62" s="157"/>
      <c r="I62" s="158"/>
      <c r="J62" s="321"/>
      <c r="K62" s="159"/>
    </row>
    <row r="63" spans="1:11" customFormat="1" ht="21" customHeight="1">
      <c r="B63" s="481"/>
      <c r="C63" s="482"/>
      <c r="D63" s="482"/>
      <c r="E63" s="482"/>
      <c r="F63" s="571" t="s">
        <v>49</v>
      </c>
      <c r="G63" s="571"/>
      <c r="H63" s="571"/>
      <c r="I63" s="571"/>
      <c r="J63" s="572"/>
      <c r="K63" s="573"/>
    </row>
    <row r="64" spans="1:11" customFormat="1" ht="21" customHeight="1">
      <c r="B64" s="483"/>
      <c r="C64" s="570"/>
      <c r="D64" s="570"/>
      <c r="E64" s="570"/>
      <c r="F64" s="571"/>
      <c r="G64" s="571"/>
      <c r="H64" s="571"/>
      <c r="I64" s="571"/>
      <c r="J64" s="572"/>
      <c r="K64" s="573"/>
    </row>
    <row r="65" spans="2:11" customFormat="1" ht="21" customHeight="1">
      <c r="B65" s="483"/>
      <c r="C65" s="570"/>
      <c r="D65" s="570"/>
      <c r="E65" s="570"/>
      <c r="F65" s="571"/>
      <c r="G65" s="571"/>
      <c r="H65" s="571"/>
      <c r="I65" s="571"/>
      <c r="J65" s="572"/>
      <c r="K65" s="573"/>
    </row>
    <row r="66" spans="2:11" customFormat="1" ht="21" customHeight="1">
      <c r="B66" s="483"/>
      <c r="C66" s="570"/>
      <c r="D66" s="570"/>
      <c r="E66" s="570"/>
      <c r="F66" s="571"/>
      <c r="G66" s="571"/>
      <c r="H66" s="571"/>
      <c r="I66" s="571"/>
      <c r="J66" s="572"/>
      <c r="K66" s="573"/>
    </row>
    <row r="67" spans="2:11" customFormat="1" ht="60.6" customHeight="1" thickBot="1">
      <c r="B67" s="485"/>
      <c r="C67" s="486"/>
      <c r="D67" s="486"/>
      <c r="E67" s="486"/>
      <c r="F67" s="574" t="s">
        <v>51</v>
      </c>
      <c r="G67" s="574"/>
      <c r="H67" s="574"/>
      <c r="I67" s="574"/>
      <c r="J67" s="575"/>
      <c r="K67" s="576"/>
    </row>
  </sheetData>
  <mergeCells count="13">
    <mergeCell ref="B33:B34"/>
    <mergeCell ref="C33:C34"/>
    <mergeCell ref="G33:G34"/>
    <mergeCell ref="H33:H34"/>
    <mergeCell ref="B63:E67"/>
    <mergeCell ref="F63:K66"/>
    <mergeCell ref="F67:K67"/>
    <mergeCell ref="B1:K1"/>
    <mergeCell ref="B2:K2"/>
    <mergeCell ref="B31:B32"/>
    <mergeCell ref="C31:C32"/>
    <mergeCell ref="J5:K7"/>
    <mergeCell ref="E3:I7"/>
  </mergeCells>
  <hyperlinks>
    <hyperlink ref="G33:G34" r:id="rId1" display="Main Label Link" xr:uid="{C369F45B-7C5E-4954-92B5-EBB35C121BB3}"/>
    <hyperlink ref="G31" r:id="rId2" xr:uid="{E34C6762-7D7B-47E1-9552-48B05FF8AB31}"/>
    <hyperlink ref="G32" r:id="rId3" xr:uid="{9506D093-DF7F-424F-9955-E579FD9EF86C}"/>
    <hyperlink ref="G35" r:id="rId4" xr:uid="{AEF39001-F5AD-4284-BA27-9EDF3447EE02}"/>
    <hyperlink ref="G28" r:id="rId5" display="Wash Care Labels AI files Link" xr:uid="{FD02CB43-FE04-4C39-A6C6-3AC0CF838105}"/>
    <hyperlink ref="G29" r:id="rId6" xr:uid="{505B4446-D08F-42A9-9616-B2F820DF1684}"/>
    <hyperlink ref="G46" r:id="rId7" xr:uid="{561AC64A-AFD9-4A92-9134-A504FE466174}"/>
    <hyperlink ref="G36" r:id="rId8" xr:uid="{C611416E-645F-4721-91A4-E26ADBC5EC66}"/>
    <hyperlink ref="G37" r:id="rId9" xr:uid="{45E1A794-1DDB-47E3-9F3D-2C1E60A385B9}"/>
    <hyperlink ref="G38:G43" r:id="rId10" display="Suppliers Product Packing Artwork Files" xr:uid="{244E9516-3283-4B3C-BEB0-E71A9055A55E}"/>
    <hyperlink ref="G44:G53" r:id="rId11" display="Suppliers Product Packing Artwork Files" xr:uid="{362DE042-B9AB-4032-B32E-503F5F415530}"/>
    <hyperlink ref="G47" r:id="rId12" xr:uid="{D331D0D7-5197-4241-A551-E55EEAF2DB8E}"/>
    <hyperlink ref="G57:G58" r:id="rId13" display="Suppliers Product Packing Artwork Files" xr:uid="{20466743-ED49-4E21-BD14-4B74C1E2845F}"/>
    <hyperlink ref="G49" r:id="rId14" xr:uid="{E4282944-C0A1-4165-A407-805176771872}"/>
    <hyperlink ref="G50" r:id="rId15" xr:uid="{CBBA49EB-5DCA-4C07-AD2A-15D1C5156549}"/>
    <hyperlink ref="G51" r:id="rId16" xr:uid="{7654B533-3F6B-47C7-BB30-81B012886E58}"/>
    <hyperlink ref="G20" r:id="rId17" xr:uid="{8420B347-7500-45D0-B7EF-2E10D56B137F}"/>
    <hyperlink ref="G40" r:id="rId18" xr:uid="{18424FD0-B56B-4323-A51D-C5940CCE511D}"/>
    <hyperlink ref="G41" r:id="rId19" xr:uid="{AA9C0C88-933A-45A8-B9A8-9763F5A242F1}"/>
    <hyperlink ref="G39" r:id="rId20" xr:uid="{56EC96BF-3AB9-4AC0-8F36-2203EF41D980}"/>
    <hyperlink ref="G42" r:id="rId21" xr:uid="{6E1E86B8-8B2C-42F5-983B-94BA8F5E6713}"/>
    <hyperlink ref="G55:G56" r:id="rId22" display="Suppliers Product Packing Artwork Files" xr:uid="{57CDD85B-7C4E-4EB1-A197-29C6F6FEBA46}"/>
    <hyperlink ref="G54" r:id="rId23" xr:uid="{B421C5DD-4625-4498-AA58-9ADCD0EACF43}"/>
  </hyperlinks>
  <pageMargins left="0.19685039370078741" right="0.19685039370078741" top="0" bottom="0" header="0.31496062992125984" footer="0.31496062992125984"/>
  <pageSetup paperSize="9" scale="50" fitToHeight="0" orientation="landscape" r:id="rId24"/>
  <drawing r:id="rId2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48673-C6F1-4711-842F-D5B2E2C1977A}">
  <sheetPr codeName="Sheet3"/>
  <dimension ref="A1:D19"/>
  <sheetViews>
    <sheetView zoomScale="120" zoomScaleNormal="120" workbookViewId="0">
      <selection activeCell="A19" sqref="A19"/>
    </sheetView>
  </sheetViews>
  <sheetFormatPr defaultRowHeight="15"/>
  <cols>
    <col min="1" max="1" width="9.140625" customWidth="1"/>
    <col min="2" max="2" width="10.5703125" customWidth="1"/>
    <col min="3" max="3" width="92" customWidth="1"/>
    <col min="4" max="4" width="18.140625" customWidth="1"/>
  </cols>
  <sheetData>
    <row r="1" spans="1:4" ht="78" customHeight="1">
      <c r="B1" s="505"/>
      <c r="C1" s="506"/>
      <c r="D1" s="507"/>
    </row>
    <row r="2" spans="1:4" ht="40.5" customHeight="1">
      <c r="B2" s="384" t="s">
        <v>303</v>
      </c>
      <c r="C2" s="385"/>
      <c r="D2" s="386"/>
    </row>
    <row r="3" spans="1:4" s="9" customFormat="1" ht="30.75" customHeight="1">
      <c r="A3"/>
      <c r="B3" s="39" t="s">
        <v>23</v>
      </c>
      <c r="C3" s="216"/>
      <c r="D3" s="75" t="s">
        <v>170</v>
      </c>
    </row>
    <row r="4" spans="1:4" s="9" customFormat="1" ht="15.75" customHeight="1">
      <c r="A4"/>
      <c r="B4" s="41" t="s">
        <v>3</v>
      </c>
      <c r="C4" s="217"/>
      <c r="D4" s="140">
        <v>43381</v>
      </c>
    </row>
    <row r="5" spans="1:4" s="9" customFormat="1" ht="18" customHeight="1">
      <c r="A5"/>
      <c r="B5" s="42" t="s">
        <v>72</v>
      </c>
      <c r="C5" s="217"/>
      <c r="D5" s="145" t="s">
        <v>5</v>
      </c>
    </row>
    <row r="6" spans="1:4" s="9" customFormat="1" ht="15.75" customHeight="1">
      <c r="A6"/>
      <c r="B6" s="43" t="s">
        <v>312</v>
      </c>
      <c r="C6" s="217"/>
      <c r="D6" s="146"/>
    </row>
    <row r="7" spans="1:4" s="9" customFormat="1" ht="15.75" customHeight="1" thickBot="1">
      <c r="A7"/>
      <c r="B7" s="43"/>
      <c r="C7" s="218"/>
      <c r="D7" s="147"/>
    </row>
    <row r="8" spans="1:4" ht="42">
      <c r="B8" s="60" t="s">
        <v>304</v>
      </c>
      <c r="C8" s="61" t="s">
        <v>18</v>
      </c>
      <c r="D8" s="204" t="s">
        <v>54</v>
      </c>
    </row>
    <row r="9" spans="1:4" ht="51.75">
      <c r="B9" s="160">
        <v>1</v>
      </c>
      <c r="C9" s="161" t="s">
        <v>305</v>
      </c>
      <c r="D9" s="220"/>
    </row>
    <row r="10" spans="1:4" ht="34.5">
      <c r="B10" s="160">
        <v>2</v>
      </c>
      <c r="C10" s="161" t="s">
        <v>306</v>
      </c>
      <c r="D10" s="220"/>
    </row>
    <row r="11" spans="1:4" ht="69">
      <c r="B11" s="160">
        <v>3</v>
      </c>
      <c r="C11" s="161" t="s">
        <v>409</v>
      </c>
      <c r="D11" s="221"/>
    </row>
    <row r="12" spans="1:4" ht="17.25">
      <c r="B12" s="160">
        <v>4</v>
      </c>
      <c r="C12" s="161" t="s">
        <v>307</v>
      </c>
      <c r="D12" s="221"/>
    </row>
    <row r="13" spans="1:4" ht="34.5">
      <c r="B13" s="160">
        <v>5</v>
      </c>
      <c r="C13" s="161" t="s">
        <v>308</v>
      </c>
      <c r="D13" s="221"/>
    </row>
    <row r="14" spans="1:4" ht="34.5">
      <c r="B14" s="160">
        <v>6</v>
      </c>
      <c r="C14" s="161" t="s">
        <v>309</v>
      </c>
      <c r="D14" s="221"/>
    </row>
    <row r="15" spans="1:4" ht="34.5">
      <c r="B15" s="160">
        <v>7</v>
      </c>
      <c r="C15" s="161" t="s">
        <v>384</v>
      </c>
      <c r="D15" s="221"/>
    </row>
    <row r="16" spans="1:4" ht="34.5">
      <c r="B16" s="160">
        <v>8</v>
      </c>
      <c r="C16" s="161" t="s">
        <v>310</v>
      </c>
      <c r="D16" s="221"/>
    </row>
    <row r="17" spans="2:4" ht="15" customHeight="1">
      <c r="B17" s="149"/>
      <c r="C17" s="148"/>
      <c r="D17" s="16"/>
    </row>
    <row r="18" spans="2:4" ht="39.75" customHeight="1">
      <c r="B18" s="387"/>
      <c r="C18" s="215" t="s">
        <v>49</v>
      </c>
      <c r="D18" s="16"/>
    </row>
    <row r="19" spans="2:4" ht="79.5" customHeight="1" thickBot="1">
      <c r="B19" s="388"/>
      <c r="C19" s="214" t="s">
        <v>51</v>
      </c>
      <c r="D19" s="205"/>
    </row>
  </sheetData>
  <mergeCells count="3">
    <mergeCell ref="B1:D1"/>
    <mergeCell ref="B2:D2"/>
    <mergeCell ref="B18:B19"/>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D6819-32D0-4677-A06D-22B81837ABA9}">
  <sheetPr codeName="Sheet8"/>
  <dimension ref="A1:E8"/>
  <sheetViews>
    <sheetView workbookViewId="0">
      <selection activeCell="B1" sqref="B1:E1"/>
    </sheetView>
  </sheetViews>
  <sheetFormatPr defaultRowHeight="15"/>
  <cols>
    <col min="2" max="2" width="24.7109375" customWidth="1"/>
    <col min="3" max="3" width="28" bestFit="1" customWidth="1"/>
    <col min="4" max="4" width="57.5703125" customWidth="1"/>
    <col min="5" max="5" width="22.7109375" customWidth="1"/>
  </cols>
  <sheetData>
    <row r="1" spans="1:5" ht="93" customHeight="1" thickBot="1">
      <c r="B1" s="377"/>
      <c r="C1" s="378"/>
      <c r="D1" s="378"/>
      <c r="E1" s="379"/>
    </row>
    <row r="2" spans="1:5" ht="40.5" customHeight="1">
      <c r="B2" s="384" t="s">
        <v>322</v>
      </c>
      <c r="C2" s="385"/>
      <c r="D2" s="385"/>
      <c r="E2" s="386"/>
    </row>
    <row r="3" spans="1:5" s="9" customFormat="1" ht="30.75" customHeight="1">
      <c r="A3"/>
      <c r="B3" s="39" t="s">
        <v>23</v>
      </c>
      <c r="C3" s="603"/>
      <c r="D3" s="603"/>
      <c r="E3" s="75" t="s">
        <v>170</v>
      </c>
    </row>
    <row r="4" spans="1:5" s="9" customFormat="1" ht="15.75" customHeight="1">
      <c r="A4"/>
      <c r="B4" s="41" t="s">
        <v>3</v>
      </c>
      <c r="C4" s="603"/>
      <c r="D4" s="603"/>
      <c r="E4" s="140">
        <v>43367</v>
      </c>
    </row>
    <row r="5" spans="1:5" s="9" customFormat="1" ht="18" customHeight="1">
      <c r="A5"/>
      <c r="B5" s="42" t="s">
        <v>72</v>
      </c>
      <c r="C5" s="603"/>
      <c r="D5" s="603"/>
      <c r="E5" s="75" t="s">
        <v>5</v>
      </c>
    </row>
    <row r="6" spans="1:5" s="9" customFormat="1" ht="15.75" customHeight="1">
      <c r="A6"/>
      <c r="B6" s="43" t="s">
        <v>312</v>
      </c>
      <c r="C6" s="603"/>
      <c r="D6" s="603"/>
      <c r="E6" s="75"/>
    </row>
    <row r="7" spans="1:5" s="9" customFormat="1" ht="15.75" customHeight="1" thickBot="1">
      <c r="A7"/>
      <c r="B7" s="604"/>
      <c r="C7" s="605"/>
      <c r="D7" s="605"/>
      <c r="E7" s="606"/>
    </row>
    <row r="8" spans="1:5" ht="24" thickBot="1">
      <c r="B8" s="175" t="s">
        <v>319</v>
      </c>
      <c r="C8" s="176" t="s">
        <v>320</v>
      </c>
      <c r="D8" s="177" t="s">
        <v>321</v>
      </c>
      <c r="E8" s="178" t="s">
        <v>110</v>
      </c>
    </row>
  </sheetData>
  <mergeCells count="7">
    <mergeCell ref="C6:D6"/>
    <mergeCell ref="B7:E7"/>
    <mergeCell ref="B1:E1"/>
    <mergeCell ref="B2:E2"/>
    <mergeCell ref="C3:D3"/>
    <mergeCell ref="C4:D4"/>
    <mergeCell ref="C5:D5"/>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62CF5-320E-4239-8C3F-CABC1D3663C3}">
  <sheetPr codeName="Sheet9"/>
  <dimension ref="A1:D12"/>
  <sheetViews>
    <sheetView topLeftCell="A6" workbookViewId="0">
      <selection activeCell="B3" sqref="B3"/>
    </sheetView>
  </sheetViews>
  <sheetFormatPr defaultRowHeight="15"/>
  <cols>
    <col min="2" max="2" width="56.85546875" customWidth="1"/>
    <col min="3" max="3" width="82.5703125" customWidth="1"/>
    <col min="4" max="4" width="22.7109375" customWidth="1"/>
  </cols>
  <sheetData>
    <row r="1" spans="1:4" ht="93" customHeight="1" thickBot="1">
      <c r="B1" s="377"/>
      <c r="C1" s="378"/>
      <c r="D1" s="379"/>
    </row>
    <row r="2" spans="1:4" ht="40.5" customHeight="1">
      <c r="B2" s="384" t="s">
        <v>331</v>
      </c>
      <c r="C2" s="385"/>
      <c r="D2" s="386"/>
    </row>
    <row r="3" spans="1:4" s="9" customFormat="1" ht="30.75" customHeight="1">
      <c r="A3"/>
      <c r="B3" s="39" t="s">
        <v>23</v>
      </c>
      <c r="C3" s="174"/>
      <c r="D3" s="75" t="s">
        <v>170</v>
      </c>
    </row>
    <row r="4" spans="1:4" s="9" customFormat="1" ht="15.75" customHeight="1">
      <c r="A4"/>
      <c r="B4" s="41" t="s">
        <v>3</v>
      </c>
      <c r="C4" s="174"/>
      <c r="D4" s="140">
        <v>43278</v>
      </c>
    </row>
    <row r="5" spans="1:4" s="9" customFormat="1" ht="18" customHeight="1">
      <c r="A5"/>
      <c r="B5" s="42" t="s">
        <v>72</v>
      </c>
      <c r="C5" s="174"/>
      <c r="D5" s="75" t="s">
        <v>5</v>
      </c>
    </row>
    <row r="6" spans="1:4" s="9" customFormat="1" ht="15.75" customHeight="1">
      <c r="A6"/>
      <c r="B6" s="43" t="s">
        <v>312</v>
      </c>
      <c r="C6" s="174"/>
      <c r="D6" s="75"/>
    </row>
    <row r="7" spans="1:4" s="9" customFormat="1" ht="15.75" customHeight="1" thickBot="1">
      <c r="A7"/>
      <c r="B7" s="604"/>
      <c r="C7" s="605"/>
      <c r="D7" s="606"/>
    </row>
    <row r="8" spans="1:4" ht="24" thickBot="1">
      <c r="B8" s="175" t="s">
        <v>319</v>
      </c>
      <c r="C8" s="177" t="s">
        <v>321</v>
      </c>
      <c r="D8" s="178" t="s">
        <v>110</v>
      </c>
    </row>
    <row r="9" spans="1:4" ht="102.75" customHeight="1">
      <c r="B9" s="179" t="s">
        <v>323</v>
      </c>
      <c r="C9" s="181" t="s">
        <v>324</v>
      </c>
      <c r="D9" s="181"/>
    </row>
    <row r="10" spans="1:4" ht="102.75" customHeight="1">
      <c r="B10" s="179" t="s">
        <v>325</v>
      </c>
      <c r="C10" s="181" t="s">
        <v>326</v>
      </c>
      <c r="D10" s="181"/>
    </row>
    <row r="11" spans="1:4" ht="102.75" customHeight="1">
      <c r="B11" s="179" t="s">
        <v>327</v>
      </c>
      <c r="C11" s="181" t="s">
        <v>328</v>
      </c>
      <c r="D11" s="181"/>
    </row>
    <row r="12" spans="1:4" ht="102.75" customHeight="1" thickBot="1">
      <c r="B12" s="180" t="s">
        <v>329</v>
      </c>
      <c r="C12" s="182" t="s">
        <v>330</v>
      </c>
      <c r="D12" s="182"/>
    </row>
  </sheetData>
  <mergeCells count="3">
    <mergeCell ref="B7:D7"/>
    <mergeCell ref="B1:D1"/>
    <mergeCell ref="B2:D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C2EA3-E89A-49CA-9172-62962FF28417}">
  <sheetPr codeName="Sheet13"/>
  <dimension ref="B1:D38"/>
  <sheetViews>
    <sheetView workbookViewId="0">
      <selection activeCell="G10" sqref="G10"/>
    </sheetView>
  </sheetViews>
  <sheetFormatPr defaultRowHeight="15"/>
  <cols>
    <col min="2" max="2" width="14.42578125" customWidth="1"/>
    <col min="7" max="7" width="13.85546875" bestFit="1" customWidth="1"/>
  </cols>
  <sheetData>
    <row r="1" spans="2:4" s="224" customFormat="1" ht="41.65" customHeight="1">
      <c r="B1" s="607"/>
      <c r="C1" s="608"/>
      <c r="D1" s="609"/>
    </row>
    <row r="2" spans="2:4" ht="23.25">
      <c r="B2" s="39" t="s">
        <v>400</v>
      </c>
      <c r="C2" s="539"/>
      <c r="D2" s="540"/>
    </row>
    <row r="3" spans="2:4" ht="23.25">
      <c r="B3" s="39" t="s">
        <v>23</v>
      </c>
      <c r="C3" s="539"/>
      <c r="D3" s="540"/>
    </row>
    <row r="4" spans="2:4">
      <c r="B4" s="41" t="s">
        <v>3</v>
      </c>
      <c r="C4" s="539"/>
      <c r="D4" s="540"/>
    </row>
    <row r="5" spans="2:4">
      <c r="B5" s="42" t="s">
        <v>72</v>
      </c>
      <c r="C5" s="539"/>
      <c r="D5" s="540"/>
    </row>
    <row r="6" spans="2:4">
      <c r="B6" s="293" t="s">
        <v>386</v>
      </c>
      <c r="C6" s="539"/>
      <c r="D6" s="540"/>
    </row>
    <row r="7" spans="2:4">
      <c r="B7" s="293" t="s">
        <v>387</v>
      </c>
      <c r="C7" s="539"/>
      <c r="D7" s="540"/>
    </row>
    <row r="8" spans="2:4">
      <c r="B8" s="293" t="s">
        <v>388</v>
      </c>
      <c r="C8" s="539"/>
      <c r="D8" s="540"/>
    </row>
    <row r="9" spans="2:4">
      <c r="B9" s="293" t="s">
        <v>389</v>
      </c>
      <c r="C9" s="539"/>
      <c r="D9" s="540"/>
    </row>
    <row r="10" spans="2:4">
      <c r="B10" s="293" t="s">
        <v>390</v>
      </c>
      <c r="C10" s="539"/>
      <c r="D10" s="540"/>
    </row>
    <row r="11" spans="2:4">
      <c r="B11" s="295" t="s">
        <v>54</v>
      </c>
      <c r="C11" s="539"/>
      <c r="D11" s="540"/>
    </row>
    <row r="12" spans="2:4" s="224" customFormat="1" ht="49.9" customHeight="1" thickBot="1">
      <c r="B12" s="610" t="s">
        <v>385</v>
      </c>
      <c r="C12" s="611"/>
      <c r="D12" s="612"/>
    </row>
    <row r="13" spans="2:4">
      <c r="B13" s="225"/>
      <c r="C13" s="17"/>
      <c r="D13" s="17"/>
    </row>
    <row r="14" spans="2:4" ht="15.75" thickBot="1">
      <c r="B14" s="225"/>
      <c r="C14" s="17"/>
      <c r="D14" s="17"/>
    </row>
    <row r="15" spans="2:4" ht="44.65" customHeight="1">
      <c r="B15" s="607"/>
      <c r="C15" s="608"/>
      <c r="D15" s="609"/>
    </row>
    <row r="16" spans="2:4" ht="23.25">
      <c r="B16" s="39" t="s">
        <v>400</v>
      </c>
      <c r="C16" s="539"/>
      <c r="D16" s="540"/>
    </row>
    <row r="17" spans="2:4" ht="23.25">
      <c r="B17" s="39" t="s">
        <v>23</v>
      </c>
      <c r="C17" s="539"/>
      <c r="D17" s="540"/>
    </row>
    <row r="18" spans="2:4">
      <c r="B18" s="41" t="s">
        <v>3</v>
      </c>
      <c r="C18" s="539"/>
      <c r="D18" s="540"/>
    </row>
    <row r="19" spans="2:4">
      <c r="B19" s="42" t="s">
        <v>72</v>
      </c>
      <c r="C19" s="539"/>
      <c r="D19" s="540"/>
    </row>
    <row r="20" spans="2:4">
      <c r="B20" s="293" t="s">
        <v>386</v>
      </c>
      <c r="C20" s="539"/>
      <c r="D20" s="540"/>
    </row>
    <row r="21" spans="2:4">
      <c r="B21" s="293" t="s">
        <v>393</v>
      </c>
      <c r="C21" s="539"/>
      <c r="D21" s="540"/>
    </row>
    <row r="22" spans="2:4">
      <c r="B22" s="293" t="s">
        <v>388</v>
      </c>
      <c r="C22" s="539" t="s">
        <v>392</v>
      </c>
      <c r="D22" s="540"/>
    </row>
    <row r="23" spans="2:4">
      <c r="B23" s="293" t="s">
        <v>389</v>
      </c>
      <c r="C23" s="539" t="s">
        <v>392</v>
      </c>
      <c r="D23" s="540"/>
    </row>
    <row r="24" spans="2:4">
      <c r="B24" s="293" t="s">
        <v>390</v>
      </c>
      <c r="C24" s="539" t="s">
        <v>392</v>
      </c>
      <c r="D24" s="540"/>
    </row>
    <row r="25" spans="2:4">
      <c r="B25" s="295" t="s">
        <v>54</v>
      </c>
      <c r="C25" s="539"/>
      <c r="D25" s="540"/>
    </row>
    <row r="26" spans="2:4" ht="43.9" customHeight="1" thickBot="1">
      <c r="B26" s="613" t="s">
        <v>391</v>
      </c>
      <c r="C26" s="614"/>
      <c r="D26" s="615"/>
    </row>
    <row r="29" spans="2:4" ht="15.75" thickBot="1"/>
    <row r="30" spans="2:4" ht="42.75" customHeight="1">
      <c r="B30" s="607"/>
      <c r="C30" s="608"/>
      <c r="D30" s="609"/>
    </row>
    <row r="31" spans="2:4" ht="23.25">
      <c r="B31" s="39" t="s">
        <v>400</v>
      </c>
      <c r="C31" s="539"/>
      <c r="D31" s="540"/>
    </row>
    <row r="32" spans="2:4" ht="23.25">
      <c r="B32" s="39" t="s">
        <v>23</v>
      </c>
      <c r="C32" s="539"/>
      <c r="D32" s="540"/>
    </row>
    <row r="33" spans="2:4">
      <c r="B33" s="41" t="s">
        <v>3</v>
      </c>
      <c r="C33" s="539"/>
      <c r="D33" s="540"/>
    </row>
    <row r="34" spans="2:4">
      <c r="B34" s="42" t="s">
        <v>72</v>
      </c>
      <c r="C34" s="539"/>
      <c r="D34" s="540"/>
    </row>
    <row r="35" spans="2:4">
      <c r="B35" s="293" t="s">
        <v>386</v>
      </c>
      <c r="C35" s="539"/>
      <c r="D35" s="540"/>
    </row>
    <row r="36" spans="2:4">
      <c r="B36" s="293" t="s">
        <v>393</v>
      </c>
      <c r="C36" s="539"/>
      <c r="D36" s="540"/>
    </row>
    <row r="37" spans="2:4">
      <c r="B37" s="294" t="s">
        <v>54</v>
      </c>
      <c r="C37" s="539"/>
      <c r="D37" s="540"/>
    </row>
    <row r="38" spans="2:4" ht="45.4" customHeight="1" thickBot="1">
      <c r="B38" s="613" t="s">
        <v>394</v>
      </c>
      <c r="C38" s="614"/>
      <c r="D38" s="615"/>
    </row>
  </sheetData>
  <mergeCells count="33">
    <mergeCell ref="B38:D38"/>
    <mergeCell ref="C37:D37"/>
    <mergeCell ref="C33:D33"/>
    <mergeCell ref="C34:D34"/>
    <mergeCell ref="C35:D35"/>
    <mergeCell ref="C36:D36"/>
    <mergeCell ref="C32:D32"/>
    <mergeCell ref="C10:D10"/>
    <mergeCell ref="C11:D11"/>
    <mergeCell ref="B15:D15"/>
    <mergeCell ref="B26:D26"/>
    <mergeCell ref="C17:D17"/>
    <mergeCell ref="C18:D18"/>
    <mergeCell ref="C19:D19"/>
    <mergeCell ref="C20:D20"/>
    <mergeCell ref="C21:D21"/>
    <mergeCell ref="C22:D22"/>
    <mergeCell ref="C23:D23"/>
    <mergeCell ref="C24:D24"/>
    <mergeCell ref="C25:D25"/>
    <mergeCell ref="B30:D30"/>
    <mergeCell ref="C16:D16"/>
    <mergeCell ref="B1:D1"/>
    <mergeCell ref="B12:D12"/>
    <mergeCell ref="C3:D3"/>
    <mergeCell ref="C4:D4"/>
    <mergeCell ref="C5:D5"/>
    <mergeCell ref="C2:D2"/>
    <mergeCell ref="C31:D31"/>
    <mergeCell ref="C6:D6"/>
    <mergeCell ref="C7:D7"/>
    <mergeCell ref="C8:D8"/>
    <mergeCell ref="C9:D9"/>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PO</vt:lpstr>
      <vt:lpstr>Terms</vt:lpstr>
      <vt:lpstr>Planner</vt:lpstr>
      <vt:lpstr>Inspection SOP</vt:lpstr>
      <vt:lpstr>QA Guides</vt:lpstr>
      <vt:lpstr>Strike-Offs and Lab Dips SOP</vt:lpstr>
      <vt:lpstr>FOB SOP</vt:lpstr>
      <vt:lpstr>Fabric Inspection Report</vt:lpstr>
      <vt:lpstr>PO Staff</vt:lpstr>
      <vt:lpstr>Basics BOM</vt:lpstr>
      <vt:lpstr>SlipOn BOM</vt:lpstr>
      <vt:lpstr>BOM</vt:lpstr>
      <vt:lpstr>Tunics BOM</vt:lpstr>
      <vt:lpstr>TShirts BOM</vt:lpstr>
      <vt:lpstr>Taj BOM</vt:lpstr>
      <vt:lpstr>Jolie BOM</vt:lpstr>
      <vt:lpstr>Strike-Offs and Lab Dips SOP ol</vt:lpstr>
      <vt:lpstr>VersionHistory</vt:lpstr>
      <vt:lpstr>Sampling SOP</vt:lpstr>
      <vt:lpstr>Samples Tags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Mubde ABSI</dc:creator>
  <cp:lastModifiedBy>Mubde' ABSI</cp:lastModifiedBy>
  <dcterms:created xsi:type="dcterms:W3CDTF">2015-12-04T06:30:50Z</dcterms:created>
  <dcterms:modified xsi:type="dcterms:W3CDTF">2020-02-10T09:04:15Z</dcterms:modified>
</cp:coreProperties>
</file>