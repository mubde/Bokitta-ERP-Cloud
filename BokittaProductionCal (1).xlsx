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81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bani 4\Downloads\"/>
    </mc:Choice>
  </mc:AlternateContent>
  <xr:revisionPtr revIDLastSave="0" documentId="4FFCB66E63684337B486D1A18200E241A3DFA676" xr6:coauthVersionLast="17" xr6:coauthVersionMax="17" xr10:uidLastSave="{00000000-0000-0000-0000-000000000000}"/>
  <bookViews>
    <workbookView xWindow="0" yWindow="0" windowWidth="10800" windowHeight="7980" xr2:uid="{00000000-000D-0000-FFFF-FFFF00000000}"/>
  </bookViews>
  <sheets>
    <sheet name="Calendar" sheetId="2" r:id="rId1"/>
    <sheet name="Mothers day" sheetId="7" r:id="rId2"/>
    <sheet name="Andalusia" sheetId="5" r:id="rId3"/>
    <sheet name="GardenOfQueens" sheetId="4" r:id="rId4"/>
    <sheet name="Alibaba40Thieves" sheetId="1" r:id="rId5"/>
  </sheets>
  <definedNames>
    <definedName name="Afganistan">"#REF!"</definedName>
    <definedName name="Afganistan_1">"#REF!"</definedName>
    <definedName name="Afganistan_13">"#REF!"</definedName>
    <definedName name="Afganistan_15">"#REF!"</definedName>
    <definedName name="Afganistan_16">"#REF!"</definedName>
    <definedName name="Afganistan_17">"#REF!"</definedName>
    <definedName name="Afganistan_3">"#REF!"</definedName>
    <definedName name="Afganistan_3_1">"#REF!"</definedName>
    <definedName name="Afganistan_4">"#REF!"</definedName>
    <definedName name="Afganistan_5">"#REF!"</definedName>
    <definedName name="Afganistan_5_1">"#REF!"</definedName>
    <definedName name="Afganistan_6">"#REF!"</definedName>
    <definedName name="Afganistan_7">"#REF!"</definedName>
    <definedName name="ColorMe">"#REF!"</definedName>
    <definedName name="ColorMe_1">"#REF!"</definedName>
    <definedName name="ColorMe_15">"#REF!"</definedName>
    <definedName name="ColorMe_16">"#REF!"</definedName>
    <definedName name="ColorMe_17">"#REF!"</definedName>
    <definedName name="ColorMe_3">"#REF!"</definedName>
    <definedName name="ColorMe_4">"#REF!"</definedName>
    <definedName name="ColorMe_5">"#REF!"</definedName>
    <definedName name="ColorMe_5_1">"#REF!"</definedName>
    <definedName name="ColorMe_6">"#REF!"</definedName>
    <definedName name="ColorMe_7">"#REF!"</definedName>
    <definedName name="DATA">"#REF!"</definedName>
    <definedName name="DATA_1">"#REF!"</definedName>
    <definedName name="DATA_13">"#REF!"</definedName>
    <definedName name="DATA_15">"#REF!"</definedName>
    <definedName name="DATA_16">"#REF!"</definedName>
    <definedName name="DATA_17">"#REF!"</definedName>
    <definedName name="DATA_3">"#REF!"</definedName>
    <definedName name="DATA_3_1">"#REF!"</definedName>
    <definedName name="DATA_4">"#REF!"</definedName>
    <definedName name="DATA_5">"#REF!"</definedName>
    <definedName name="DATA_5_1">"#REF!"</definedName>
    <definedName name="DATA_6">"#REF!"</definedName>
    <definedName name="DATA_7">"#REF!"</definedName>
    <definedName name="DataBegin">"#REF!"</definedName>
    <definedName name="DataBegin_1">"#REF!"</definedName>
    <definedName name="DataBegin_1_1">"#REF!"</definedName>
    <definedName name="DataBegin_15">"#REF!"</definedName>
    <definedName name="DataBegin_16">"#REF!"</definedName>
    <definedName name="DataBegin_17">"#REF!"</definedName>
    <definedName name="DataBegin_3">"#REF!"</definedName>
    <definedName name="DataBegin_4">"#REF!"</definedName>
    <definedName name="DataBegin_5">"#REF!"</definedName>
    <definedName name="DataBegin_5_1">"#REF!"</definedName>
    <definedName name="DataBegin_6">"#REF!"</definedName>
    <definedName name="DataBegin_7">"#REF!"</definedName>
    <definedName name="RGBValue">"#REF!"</definedName>
    <definedName name="RGBValue_1">"#REF!"</definedName>
    <definedName name="RGBValue_1_1">"#REF!"</definedName>
    <definedName name="RGBValue_13">"#REF!"</definedName>
    <definedName name="RGBValue_15">"#REF!"</definedName>
    <definedName name="RGBValue_16">"#REF!"</definedName>
    <definedName name="RGBValue_17">"#REF!"</definedName>
    <definedName name="RGBValue_3">"#REF!"</definedName>
    <definedName name="RGBValue_4">"#REF!"</definedName>
    <definedName name="RGBValue_4_1">"#REF!"</definedName>
    <definedName name="RGBValue_5">"#REF!"</definedName>
    <definedName name="RGBValue_5_1">"#REF!"</definedName>
    <definedName name="RGBValue_6">"#REF!"</definedName>
    <definedName name="RGBValue_7">"#REF!"</definedName>
  </definedName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7" l="1"/>
  <c r="G54" i="2"/>
  <c r="H54" i="2"/>
  <c r="I54" i="2"/>
  <c r="J54" i="2"/>
  <c r="K54" i="2"/>
  <c r="L54" i="2"/>
  <c r="N54" i="2"/>
  <c r="O54" i="2"/>
  <c r="P54" i="2"/>
  <c r="Q54" i="2"/>
  <c r="G53" i="2"/>
  <c r="H53" i="2"/>
  <c r="I53" i="2"/>
  <c r="J53" i="2"/>
  <c r="K53" i="2"/>
  <c r="L53" i="2"/>
  <c r="N53" i="2"/>
  <c r="O53" i="2"/>
  <c r="P53" i="2"/>
  <c r="Q53" i="2"/>
  <c r="G52" i="2"/>
  <c r="H52" i="2"/>
  <c r="I52" i="2"/>
  <c r="J52" i="2"/>
  <c r="K52" i="2"/>
  <c r="L52" i="2"/>
  <c r="N52" i="2"/>
  <c r="O52" i="2"/>
  <c r="P52" i="2"/>
  <c r="Q52" i="2"/>
  <c r="Q50" i="2"/>
  <c r="P50" i="2"/>
  <c r="O50" i="2"/>
  <c r="Q48" i="2"/>
  <c r="P48" i="2"/>
  <c r="O48" i="2"/>
  <c r="R42" i="2"/>
  <c r="Q42" i="2"/>
  <c r="P42" i="2"/>
  <c r="Q47" i="2"/>
  <c r="P47" i="2"/>
  <c r="Q46" i="2"/>
  <c r="P46" i="2"/>
  <c r="Q45" i="2"/>
  <c r="P45" i="2"/>
  <c r="S38" i="2"/>
  <c r="R38" i="2"/>
  <c r="Q38" i="2"/>
  <c r="P38" i="2"/>
  <c r="S39" i="2"/>
  <c r="R39" i="2"/>
  <c r="Q39" i="2"/>
  <c r="P39" i="2"/>
  <c r="S35" i="2"/>
  <c r="R35" i="2"/>
  <c r="Q35" i="2"/>
  <c r="P35" i="2"/>
  <c r="S33" i="2"/>
  <c r="R33" i="2"/>
  <c r="Q33" i="2"/>
  <c r="P33" i="2"/>
  <c r="S31" i="2"/>
  <c r="R31" i="2"/>
  <c r="Q31" i="2"/>
  <c r="P31" i="2"/>
  <c r="N31" i="2"/>
  <c r="L31" i="2"/>
  <c r="K31" i="2"/>
  <c r="J31" i="2"/>
  <c r="I31" i="2"/>
  <c r="H31" i="2"/>
  <c r="G31" i="2"/>
  <c r="F31" i="2"/>
  <c r="C31" i="2"/>
  <c r="S29" i="2"/>
  <c r="R29" i="2"/>
  <c r="S27" i="2"/>
  <c r="K27" i="2"/>
  <c r="Q27" i="2"/>
  <c r="P27" i="2"/>
  <c r="N27" i="2"/>
  <c r="L27" i="2"/>
  <c r="S25" i="2"/>
  <c r="R25" i="2"/>
  <c r="K25" i="2"/>
  <c r="Q25" i="2"/>
  <c r="P25" i="2"/>
  <c r="O25" i="2"/>
  <c r="K23" i="2"/>
  <c r="Q23" i="2"/>
  <c r="P23" i="2"/>
  <c r="K21" i="2"/>
  <c r="Q21" i="2"/>
  <c r="P21" i="2"/>
  <c r="K19" i="2"/>
  <c r="Q19" i="2"/>
  <c r="P19" i="2"/>
  <c r="K17" i="2"/>
  <c r="Q17" i="2"/>
  <c r="P17" i="2"/>
  <c r="N17" i="2"/>
  <c r="L17" i="2"/>
  <c r="K15" i="2"/>
  <c r="Q15" i="2"/>
  <c r="P15" i="2"/>
  <c r="K13" i="2"/>
  <c r="Q13" i="2"/>
  <c r="P13" i="2"/>
  <c r="K11" i="2"/>
  <c r="Q11" i="2"/>
  <c r="P11" i="2"/>
  <c r="K9" i="2"/>
  <c r="Q9" i="2"/>
  <c r="P9" i="2"/>
  <c r="O9" i="2"/>
  <c r="K7" i="2"/>
  <c r="Q7" i="2"/>
  <c r="P7" i="2"/>
  <c r="K5" i="2"/>
  <c r="Q5" i="2"/>
  <c r="P5" i="2"/>
  <c r="N50" i="2"/>
  <c r="L50" i="2"/>
  <c r="K50" i="2"/>
  <c r="N48" i="2"/>
  <c r="L48" i="2"/>
  <c r="K48" i="2"/>
  <c r="J48" i="2"/>
  <c r="I48" i="2"/>
  <c r="H48" i="2"/>
  <c r="O42" i="2"/>
  <c r="N42" i="2"/>
  <c r="L42" i="2"/>
  <c r="K42" i="2"/>
  <c r="J42" i="2"/>
  <c r="I42" i="2"/>
  <c r="H42" i="2"/>
  <c r="G42" i="2"/>
  <c r="F42" i="2"/>
  <c r="O31" i="2"/>
  <c r="O27" i="2"/>
  <c r="N19" i="2"/>
  <c r="L19" i="2"/>
  <c r="O19" i="2"/>
  <c r="O46" i="2"/>
  <c r="N46" i="2"/>
  <c r="L46" i="2"/>
  <c r="K46" i="2"/>
  <c r="J46" i="2"/>
  <c r="I46" i="2"/>
  <c r="H46" i="2"/>
  <c r="G46" i="2"/>
  <c r="F46" i="2"/>
  <c r="N33" i="2"/>
  <c r="L33" i="2"/>
  <c r="K33" i="2"/>
  <c r="J33" i="2"/>
  <c r="I33" i="2"/>
  <c r="H33" i="2"/>
  <c r="G33" i="2"/>
  <c r="F33" i="2"/>
  <c r="C33" i="2"/>
  <c r="O33" i="2"/>
  <c r="N45" i="2"/>
  <c r="L45" i="2"/>
  <c r="K45" i="2"/>
  <c r="J45" i="2"/>
  <c r="I45" i="2"/>
  <c r="H45" i="2"/>
  <c r="G45" i="2"/>
  <c r="F45" i="2"/>
  <c r="O45" i="2"/>
  <c r="Q29" i="2"/>
  <c r="P29" i="2"/>
  <c r="K29" i="2"/>
  <c r="O13" i="2"/>
  <c r="N13" i="2"/>
  <c r="L13" i="2"/>
  <c r="O39" i="2"/>
  <c r="N39" i="2"/>
  <c r="L39" i="2"/>
  <c r="K39" i="2"/>
  <c r="J39" i="2"/>
  <c r="I39" i="2"/>
  <c r="H39" i="2"/>
  <c r="G39" i="2"/>
  <c r="F39" i="2"/>
  <c r="O11" i="2"/>
  <c r="N11" i="2"/>
  <c r="L11" i="2"/>
  <c r="O5" i="2"/>
  <c r="N5" i="2"/>
  <c r="L5" i="2"/>
  <c r="N25" i="2"/>
  <c r="L25" i="2"/>
  <c r="O7" i="2"/>
  <c r="N7" i="2"/>
  <c r="L7" i="2"/>
  <c r="O21" i="2"/>
  <c r="N21" i="2"/>
  <c r="L21" i="2"/>
  <c r="O35" i="2"/>
  <c r="N35" i="2"/>
  <c r="L35" i="2"/>
  <c r="K35" i="2"/>
  <c r="J35" i="2"/>
  <c r="I35" i="2"/>
  <c r="H35" i="2"/>
  <c r="G35" i="2"/>
  <c r="F35" i="2"/>
  <c r="O15" i="2"/>
  <c r="N15" i="2"/>
  <c r="L15" i="2"/>
  <c r="O17" i="2"/>
  <c r="O38" i="2"/>
  <c r="N38" i="2"/>
  <c r="L38" i="2"/>
  <c r="K38" i="2"/>
  <c r="J38" i="2"/>
  <c r="I38" i="2"/>
  <c r="H38" i="2"/>
  <c r="G38" i="2"/>
  <c r="F38" i="2"/>
  <c r="N9" i="2"/>
  <c r="L9" i="2"/>
  <c r="N23" i="2"/>
  <c r="L23" i="2"/>
  <c r="O23" i="2"/>
  <c r="O47" i="2"/>
  <c r="N47" i="2"/>
  <c r="L47" i="2"/>
  <c r="K47" i="2"/>
  <c r="J47" i="2"/>
  <c r="I47" i="2"/>
  <c r="H47" i="2"/>
  <c r="G47" i="2"/>
  <c r="J50" i="2"/>
  <c r="I50" i="2"/>
  <c r="H50" i="2"/>
  <c r="G50" i="2"/>
  <c r="L2" i="4"/>
  <c r="O29" i="2"/>
  <c r="N29" i="2"/>
  <c r="L29" i="2"/>
  <c r="I29" i="2"/>
  <c r="H29" i="2"/>
  <c r="J29" i="2"/>
  <c r="Q51" i="2"/>
  <c r="P51" i="2"/>
  <c r="Q49" i="2"/>
  <c r="P49" i="2"/>
  <c r="S44" i="2"/>
  <c r="R44" i="2"/>
  <c r="Q44" i="2"/>
  <c r="P44" i="2"/>
  <c r="S43" i="2"/>
  <c r="R43" i="2"/>
  <c r="Q43" i="2"/>
  <c r="P43" i="2"/>
  <c r="S41" i="2"/>
  <c r="R41" i="2"/>
  <c r="Q41" i="2"/>
  <c r="P41" i="2"/>
  <c r="S37" i="2"/>
  <c r="R37" i="2"/>
  <c r="Q37" i="2"/>
  <c r="P37" i="2"/>
  <c r="S40" i="2"/>
  <c r="R40" i="2"/>
  <c r="Q40" i="2"/>
  <c r="P40" i="2"/>
  <c r="S36" i="2"/>
  <c r="R36" i="2"/>
  <c r="Q36" i="2"/>
  <c r="P36" i="2"/>
  <c r="S34" i="2"/>
  <c r="R34" i="2"/>
  <c r="Q34" i="2"/>
  <c r="P34" i="2"/>
  <c r="S32" i="2"/>
  <c r="R32" i="2"/>
  <c r="Q32" i="2"/>
  <c r="P32" i="2"/>
  <c r="U30" i="2"/>
  <c r="S30" i="2"/>
  <c r="R30" i="2"/>
  <c r="Q30" i="2"/>
  <c r="P30" i="2"/>
  <c r="U26" i="2"/>
  <c r="R28" i="2"/>
  <c r="S26" i="2"/>
  <c r="K26" i="2"/>
  <c r="Q26" i="2"/>
  <c r="P26" i="2"/>
  <c r="S24" i="2"/>
  <c r="R24" i="2"/>
  <c r="K24" i="2"/>
  <c r="Q24" i="2"/>
  <c r="P24" i="2"/>
  <c r="U22" i="2"/>
  <c r="K22" i="2"/>
  <c r="Q22" i="2"/>
  <c r="P22" i="2"/>
  <c r="K20" i="2"/>
  <c r="Q20" i="2"/>
  <c r="P20" i="2"/>
  <c r="K18" i="2"/>
  <c r="Q18" i="2"/>
  <c r="P18" i="2"/>
  <c r="K16" i="2"/>
  <c r="Q16" i="2"/>
  <c r="P16" i="2"/>
  <c r="K14" i="2"/>
  <c r="Q14" i="2"/>
  <c r="P14" i="2"/>
  <c r="K12" i="2"/>
  <c r="Q12" i="2"/>
  <c r="P12" i="2"/>
  <c r="K10" i="2"/>
  <c r="Q10" i="2"/>
  <c r="P10" i="2"/>
  <c r="K8" i="2"/>
  <c r="Q8" i="2"/>
  <c r="P8" i="2"/>
  <c r="K6" i="2"/>
  <c r="Q6" i="2"/>
  <c r="P6" i="2"/>
  <c r="K4" i="2"/>
  <c r="Q4" i="2"/>
  <c r="P4" i="2"/>
  <c r="N24" i="2"/>
  <c r="L24" i="2"/>
  <c r="O24" i="2"/>
  <c r="N8" i="2"/>
  <c r="L8" i="2"/>
  <c r="O8" i="2"/>
  <c r="N32" i="2"/>
  <c r="L32" i="2"/>
  <c r="K32" i="2"/>
  <c r="J32" i="2"/>
  <c r="I32" i="2"/>
  <c r="H32" i="2"/>
  <c r="G32" i="2"/>
  <c r="F32" i="2"/>
  <c r="C32" i="2"/>
  <c r="O32" i="2"/>
  <c r="O41" i="2"/>
  <c r="N41" i="2"/>
  <c r="L41" i="2"/>
  <c r="K41" i="2"/>
  <c r="J41" i="2"/>
  <c r="I41" i="2"/>
  <c r="H41" i="2"/>
  <c r="G41" i="2"/>
  <c r="F41" i="2"/>
  <c r="O18" i="2"/>
  <c r="N18" i="2"/>
  <c r="L18" i="2"/>
  <c r="O43" i="2"/>
  <c r="N43" i="2"/>
  <c r="L43" i="2"/>
  <c r="K43" i="2"/>
  <c r="J43" i="2"/>
  <c r="I43" i="2"/>
  <c r="H43" i="2"/>
  <c r="G43" i="2"/>
  <c r="F43" i="2"/>
  <c r="N16" i="2"/>
  <c r="L16" i="2"/>
  <c r="O16" i="2"/>
  <c r="O10" i="2"/>
  <c r="N10" i="2"/>
  <c r="L10" i="2"/>
  <c r="N26" i="2"/>
  <c r="L26" i="2"/>
  <c r="O26" i="2"/>
  <c r="O20" i="2"/>
  <c r="N20" i="2"/>
  <c r="L20" i="2"/>
  <c r="O36" i="2"/>
  <c r="N36" i="2"/>
  <c r="L36" i="2"/>
  <c r="K36" i="2"/>
  <c r="J36" i="2"/>
  <c r="I36" i="2"/>
  <c r="H36" i="2"/>
  <c r="G36" i="2"/>
  <c r="F36" i="2"/>
  <c r="O44" i="2"/>
  <c r="N44" i="2"/>
  <c r="L44" i="2"/>
  <c r="K44" i="2"/>
  <c r="J44" i="2"/>
  <c r="I44" i="2"/>
  <c r="H44" i="2"/>
  <c r="G44" i="2"/>
  <c r="F44" i="2"/>
  <c r="O6" i="2"/>
  <c r="N6" i="2"/>
  <c r="L6" i="2"/>
  <c r="O34" i="2"/>
  <c r="N34" i="2"/>
  <c r="L34" i="2"/>
  <c r="K34" i="2"/>
  <c r="J34" i="2"/>
  <c r="I34" i="2"/>
  <c r="H34" i="2"/>
  <c r="G34" i="2"/>
  <c r="F34" i="2"/>
  <c r="O12" i="2"/>
  <c r="N12" i="2"/>
  <c r="L12" i="2"/>
  <c r="Q28" i="2"/>
  <c r="P28" i="2"/>
  <c r="S28" i="2"/>
  <c r="K28" i="2"/>
  <c r="O49" i="2"/>
  <c r="N49" i="2"/>
  <c r="L49" i="2"/>
  <c r="K49" i="2"/>
  <c r="O4" i="2"/>
  <c r="N4" i="2"/>
  <c r="L4" i="2"/>
  <c r="O22" i="2"/>
  <c r="N22" i="2"/>
  <c r="L22" i="2"/>
  <c r="O30" i="2"/>
  <c r="N30" i="2"/>
  <c r="L30" i="2"/>
  <c r="K30" i="2"/>
  <c r="J30" i="2"/>
  <c r="I30" i="2"/>
  <c r="H30" i="2"/>
  <c r="G30" i="2"/>
  <c r="F30" i="2"/>
  <c r="C30" i="2"/>
  <c r="N40" i="2"/>
  <c r="L40" i="2"/>
  <c r="K40" i="2"/>
  <c r="J40" i="2"/>
  <c r="I40" i="2"/>
  <c r="H40" i="2"/>
  <c r="G40" i="2"/>
  <c r="F40" i="2"/>
  <c r="O40" i="2"/>
  <c r="O14" i="2"/>
  <c r="N14" i="2"/>
  <c r="L14" i="2"/>
  <c r="O37" i="2"/>
  <c r="N37" i="2"/>
  <c r="L37" i="2"/>
  <c r="K37" i="2"/>
  <c r="J37" i="2"/>
  <c r="I37" i="2"/>
  <c r="H37" i="2"/>
  <c r="G37" i="2"/>
  <c r="F37" i="2"/>
  <c r="O51" i="2"/>
  <c r="N51" i="2"/>
  <c r="L51" i="2"/>
  <c r="K51" i="2"/>
  <c r="J49" i="2"/>
  <c r="I49" i="2"/>
  <c r="H49" i="2"/>
  <c r="G49" i="2"/>
  <c r="F49" i="2"/>
  <c r="L2" i="5"/>
  <c r="J51" i="2"/>
  <c r="I51" i="2"/>
  <c r="H51" i="2"/>
  <c r="G51" i="2"/>
  <c r="F51" i="2"/>
  <c r="L2" i="1"/>
  <c r="O28" i="2"/>
  <c r="N28" i="2"/>
  <c r="L28" i="2"/>
  <c r="I28" i="2"/>
  <c r="H28" i="2"/>
  <c r="J28" i="2"/>
  <c r="F47" i="2"/>
  <c r="F50" i="2"/>
</calcChain>
</file>

<file path=xl/sharedStrings.xml><?xml version="1.0" encoding="utf-8"?>
<sst xmlns="http://schemas.openxmlformats.org/spreadsheetml/2006/main" count="285" uniqueCount="150">
  <si>
    <t>BOKITTA YEAR 2016-2017 PLANNER</t>
  </si>
  <si>
    <t>153 days &lt;</t>
  </si>
  <si>
    <t>132 days &lt;</t>
  </si>
  <si>
    <t>125 days &lt;</t>
  </si>
  <si>
    <t>118 days &lt;</t>
  </si>
  <si>
    <t>111 days &lt;</t>
  </si>
  <si>
    <t>90 days &lt;</t>
  </si>
  <si>
    <t>57 days &lt;</t>
  </si>
  <si>
    <t>52 days &lt;</t>
  </si>
  <si>
    <t>47 days &lt;</t>
  </si>
  <si>
    <t>42 days &lt;</t>
  </si>
  <si>
    <t>7 days &lt;</t>
  </si>
  <si>
    <t>SHPO NO</t>
  </si>
  <si>
    <t>Season</t>
  </si>
  <si>
    <t>Prints Theme</t>
  </si>
  <si>
    <t>Prints Count</t>
  </si>
  <si>
    <t>Plains Count</t>
  </si>
  <si>
    <t>Prints Concepts</t>
  </si>
  <si>
    <t>ORDER PLACEMENT INITIAL</t>
  </si>
  <si>
    <t>CAD (PRINTS 18 PER PO)</t>
  </si>
  <si>
    <t>StrikeOff Submission</t>
  </si>
  <si>
    <t>S/O L/D APPROVAL</t>
  </si>
  <si>
    <t>PHOTOSHOOT SUBMISSION</t>
  </si>
  <si>
    <t>ORDER PLACEMENT FINAL QTY</t>
  </si>
  <si>
    <t>Final Qty</t>
  </si>
  <si>
    <t>FOB SUBMISSION</t>
  </si>
  <si>
    <t>FOB Approval</t>
  </si>
  <si>
    <t>Production Sample SUBMISSION</t>
  </si>
  <si>
    <t>Production SAMPLE APPROVAL</t>
  </si>
  <si>
    <t>1st DELIVERY - 6 prints</t>
  </si>
  <si>
    <t>2nd DELIVERY - 6 prints</t>
  </si>
  <si>
    <t>3rd DELIVERY - 6 prints</t>
  </si>
  <si>
    <t>4th DELIVERY - remaining prints</t>
  </si>
  <si>
    <t>Online store upload date</t>
  </si>
  <si>
    <t>First batch items release in stores</t>
  </si>
  <si>
    <t xml:space="preserve">Second batch items release in stores </t>
  </si>
  <si>
    <t>Active</t>
  </si>
  <si>
    <t>SHPO1</t>
  </si>
  <si>
    <t>IDPO1</t>
  </si>
  <si>
    <t>SHPO2</t>
  </si>
  <si>
    <t>IDPO2</t>
  </si>
  <si>
    <t>SHPO3</t>
  </si>
  <si>
    <t>IDPO3</t>
  </si>
  <si>
    <t>SHPO4</t>
  </si>
  <si>
    <t>IDPO4</t>
  </si>
  <si>
    <t>SHPO5</t>
  </si>
  <si>
    <t>IDPO5</t>
  </si>
  <si>
    <t>SHPO6</t>
  </si>
  <si>
    <t>IDPO6</t>
  </si>
  <si>
    <t>SHPO7</t>
  </si>
  <si>
    <t>IDPO7</t>
  </si>
  <si>
    <t>SHPO8</t>
  </si>
  <si>
    <t>IDPO8</t>
  </si>
  <si>
    <t>SHPO9</t>
  </si>
  <si>
    <t>IDPO9</t>
  </si>
  <si>
    <t>SHPO10</t>
  </si>
  <si>
    <t>IDPO10</t>
  </si>
  <si>
    <t>SHPO11</t>
  </si>
  <si>
    <t>IDPO11</t>
  </si>
  <si>
    <t>SHPO12</t>
  </si>
  <si>
    <t>IDPO12</t>
  </si>
  <si>
    <t>SHPO13</t>
  </si>
  <si>
    <t>IDPO13</t>
  </si>
  <si>
    <t>SHPO14</t>
  </si>
  <si>
    <t>IDPO14</t>
  </si>
  <si>
    <t>SHPO15</t>
  </si>
  <si>
    <t>IDPO15</t>
  </si>
  <si>
    <t>SHPO16</t>
  </si>
  <si>
    <t>SH Prints</t>
  </si>
  <si>
    <t>IDPO16</t>
  </si>
  <si>
    <t>ID Prints</t>
  </si>
  <si>
    <t>SHPO17</t>
  </si>
  <si>
    <t>SHPO19</t>
  </si>
  <si>
    <t>W17-1</t>
  </si>
  <si>
    <t>Songket Twist</t>
  </si>
  <si>
    <t>IDPO21</t>
  </si>
  <si>
    <t>IDPO20</t>
  </si>
  <si>
    <t>W17-2</t>
  </si>
  <si>
    <t>SHPO18</t>
  </si>
  <si>
    <t>PatchWork Power</t>
  </si>
  <si>
    <t>SHPO20</t>
  </si>
  <si>
    <t>W17-3</t>
  </si>
  <si>
    <t>GEO INLAYS/ ARTS &amp; CRAFTS</t>
  </si>
  <si>
    <t>IDPO22</t>
  </si>
  <si>
    <t>SHPO21</t>
  </si>
  <si>
    <t>SS17-1</t>
  </si>
  <si>
    <t>Paisley Reflections / Vintage Garden</t>
  </si>
  <si>
    <t>SHPO22</t>
  </si>
  <si>
    <t>Water Colors / Abstract Mixes</t>
  </si>
  <si>
    <t>IDPO23</t>
  </si>
  <si>
    <t>IDPO24</t>
  </si>
  <si>
    <t>Abstract Tribe</t>
  </si>
  <si>
    <t>IDPO25</t>
  </si>
  <si>
    <t>Geo Inlays/Arts &amp; Crafts</t>
  </si>
  <si>
    <t>IDPO26</t>
  </si>
  <si>
    <t>SS17-2</t>
  </si>
  <si>
    <t>Paisley Reflections/ Vintage Garden</t>
  </si>
  <si>
    <t>SHPO23</t>
  </si>
  <si>
    <t>SS17-3</t>
  </si>
  <si>
    <t>ANDALUSIA  by Ramon J.L</t>
  </si>
  <si>
    <t>IDPO27</t>
  </si>
  <si>
    <t>GARDEN OF THE QUEENS by Jessie H.</t>
  </si>
  <si>
    <t>SHPO24</t>
  </si>
  <si>
    <t>SS17-4</t>
  </si>
  <si>
    <t>AliBaba &amp; 40 Thieves</t>
  </si>
  <si>
    <t>SHPO25</t>
  </si>
  <si>
    <t>SS17-5</t>
  </si>
  <si>
    <t>SHPO26</t>
  </si>
  <si>
    <t>SS17-6</t>
  </si>
  <si>
    <t>SHPO27</t>
  </si>
  <si>
    <t>F17-1</t>
  </si>
  <si>
    <t>Mothers day items</t>
  </si>
  <si>
    <t>NOTE- IT WILL TAKE 3 WEEKS TIME EACH BETWEEN CONCEPT TO CAD TO S/O &amp; APPROVAL TO ORDER PLACEMENT</t>
  </si>
  <si>
    <t>Prints/Plains</t>
  </si>
  <si>
    <t>Inspired Theme</t>
  </si>
  <si>
    <t>Concept Image</t>
  </si>
  <si>
    <t>BrainStorm</t>
  </si>
  <si>
    <t>Artist</t>
  </si>
  <si>
    <t>Animation Artist</t>
  </si>
  <si>
    <t>Story Board</t>
  </si>
  <si>
    <t>Sneak Preview</t>
  </si>
  <si>
    <t>Characters</t>
  </si>
  <si>
    <t>Accessories</t>
  </si>
  <si>
    <t>Event</t>
  </si>
  <si>
    <t>Samples receipt</t>
  </si>
  <si>
    <t>Photoshoot date</t>
  </si>
  <si>
    <t>Photographer</t>
  </si>
  <si>
    <t>Models</t>
  </si>
  <si>
    <t>Social media posts</t>
  </si>
  <si>
    <t>Website banner</t>
  </si>
  <si>
    <t>Online store upload</t>
  </si>
  <si>
    <t>P1</t>
  </si>
  <si>
    <t>Ramon J.</t>
  </si>
  <si>
    <t>P2</t>
  </si>
  <si>
    <t>P3</t>
  </si>
  <si>
    <t>P4</t>
  </si>
  <si>
    <t>C1</t>
  </si>
  <si>
    <t>C2</t>
  </si>
  <si>
    <t>C3</t>
  </si>
  <si>
    <t>C4</t>
  </si>
  <si>
    <t>S1</t>
  </si>
  <si>
    <t>S2</t>
  </si>
  <si>
    <t>S3</t>
  </si>
  <si>
    <t>S4</t>
  </si>
  <si>
    <t>Jessie H.</t>
  </si>
  <si>
    <t>Treasures</t>
  </si>
  <si>
    <t>Jars</t>
  </si>
  <si>
    <t>Sesame Mountain</t>
  </si>
  <si>
    <t>Dungeon</t>
  </si>
  <si>
    <t>Black with gold lurex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</si>
</sst>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\$#,##0.00_);[Red]&quot;($&quot;#,##0.00\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indexed="10"/>
      <name val="Arial"/>
      <family val="2"/>
    </font>
    <font>
      <b/>
      <sz val="12"/>
      <color rgb="FF0070C0"/>
      <name val="Arial"/>
      <family val="2"/>
    </font>
    <font>
      <sz val="10"/>
      <name val="Arial"/>
      <family val="2"/>
      <charset val="1"/>
    </font>
    <font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  <charset val="1"/>
    </font>
    <font>
      <b/>
      <sz val="14"/>
      <color indexed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3"/>
        <bgColor indexed="51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1" applyFont="1" applyBorder="1" applyAlignment="1"/>
    <xf numFmtId="0" fontId="1" fillId="0" borderId="0" xfId="1"/>
    <xf numFmtId="0" fontId="1" fillId="0" borderId="0" xfId="1" applyBorder="1"/>
    <xf numFmtId="14" fontId="3" fillId="0" borderId="0" xfId="1" applyNumberFormat="1" applyFont="1" applyBorder="1" applyAlignment="1">
      <alignment horizontal="center"/>
    </xf>
    <xf numFmtId="14" fontId="1" fillId="0" borderId="0" xfId="1" applyNumberFormat="1" applyBorder="1" applyAlignment="1">
      <alignment horizontal="center"/>
    </xf>
    <xf numFmtId="14" fontId="4" fillId="0" borderId="0" xfId="2" applyNumberFormat="1" applyBorder="1" applyAlignment="1">
      <alignment horizontal="center"/>
    </xf>
    <xf numFmtId="0" fontId="5" fillId="0" borderId="0" xfId="1" applyFont="1"/>
    <xf numFmtId="0" fontId="6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14" fontId="4" fillId="0" borderId="0" xfId="2" applyNumberFormat="1"/>
    <xf numFmtId="14" fontId="8" fillId="0" borderId="0" xfId="2" applyNumberFormat="1" applyFont="1" applyAlignment="1">
      <alignment horizontal="center" vertical="center"/>
    </xf>
    <xf numFmtId="14" fontId="6" fillId="4" borderId="1" xfId="1" applyNumberFormat="1" applyFont="1" applyFill="1" applyBorder="1" applyAlignment="1">
      <alignment horizontal="center" vertical="center"/>
    </xf>
    <xf numFmtId="14" fontId="6" fillId="5" borderId="1" xfId="1" applyNumberFormat="1" applyFont="1" applyFill="1" applyBorder="1" applyAlignment="1">
      <alignment horizontal="center" vertical="center"/>
    </xf>
    <xf numFmtId="165" fontId="1" fillId="0" borderId="0" xfId="1" applyNumberFormat="1" applyBorder="1"/>
    <xf numFmtId="14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14" fontId="1" fillId="0" borderId="0" xfId="1" applyNumberFormat="1"/>
    <xf numFmtId="1" fontId="2" fillId="0" borderId="0" xfId="1" applyNumberFormat="1" applyFont="1" applyBorder="1" applyAlignment="1"/>
    <xf numFmtId="1" fontId="3" fillId="0" borderId="0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9" fillId="0" borderId="0" xfId="1" applyNumberFormat="1" applyFont="1" applyBorder="1" applyAlignment="1">
      <alignment vertical="center"/>
    </xf>
    <xf numFmtId="1" fontId="1" fillId="0" borderId="0" xfId="1" applyNumberFormat="1"/>
    <xf numFmtId="14" fontId="4" fillId="0" borderId="0" xfId="2" applyNumberFormat="1" applyFill="1"/>
    <xf numFmtId="0" fontId="10" fillId="0" borderId="0" xfId="3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49" fontId="2" fillId="0" borderId="0" xfId="1" applyNumberFormat="1" applyFont="1" applyBorder="1" applyAlignment="1"/>
    <xf numFmtId="49" fontId="3" fillId="0" borderId="0" xfId="1" applyNumberFormat="1" applyFont="1" applyBorder="1" applyAlignment="1">
      <alignment horizontal="center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 wrapText="1"/>
    </xf>
    <xf numFmtId="49" fontId="1" fillId="0" borderId="0" xfId="1" applyNumberFormat="1"/>
    <xf numFmtId="49" fontId="6" fillId="0" borderId="0" xfId="1" applyNumberFormat="1" applyFont="1" applyAlignment="1">
      <alignment horizontal="center" vertical="center"/>
    </xf>
    <xf numFmtId="49" fontId="9" fillId="0" borderId="0" xfId="1" applyNumberFormat="1" applyFont="1" applyBorder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4" fontId="0" fillId="0" borderId="2" xfId="0" applyNumberFormat="1" applyBorder="1"/>
    <xf numFmtId="0" fontId="0" fillId="0" borderId="2" xfId="0" applyBorder="1"/>
    <xf numFmtId="0" fontId="0" fillId="6" borderId="2" xfId="0" applyFill="1" applyBorder="1" applyAlignment="1">
      <alignment horizontal="center" vertical="top"/>
    </xf>
    <xf numFmtId="164" fontId="8" fillId="0" borderId="0" xfId="2" applyNumberFormat="1" applyFont="1" applyFill="1" applyBorder="1" applyAlignment="1">
      <alignment horizontal="center" vertical="center"/>
    </xf>
    <xf numFmtId="14" fontId="6" fillId="4" borderId="0" xfId="1" applyNumberFormat="1" applyFont="1" applyFill="1" applyBorder="1" applyAlignment="1">
      <alignment horizontal="center" vertical="center"/>
    </xf>
    <xf numFmtId="14" fontId="6" fillId="0" borderId="0" xfId="1" applyNumberFormat="1" applyFont="1" applyFill="1" applyBorder="1" applyAlignment="1">
      <alignment horizontal="center" vertical="center"/>
    </xf>
    <xf numFmtId="14" fontId="10" fillId="0" borderId="1" xfId="3" applyNumberForma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10" fillId="0" borderId="1" xfId="3" applyNumberFormat="1" applyBorder="1" applyAlignment="1">
      <alignment horizontal="center" vertical="center" wrapText="1"/>
    </xf>
    <xf numFmtId="14" fontId="6" fillId="3" borderId="1" xfId="2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top" wrapText="1"/>
    </xf>
    <xf numFmtId="0" fontId="11" fillId="6" borderId="2" xfId="0" applyFont="1" applyFill="1" applyBorder="1" applyAlignment="1">
      <alignment horizontal="center" vertical="top"/>
    </xf>
  </cellXfs>
  <cellStyles count="4">
    <cellStyle name="Normal" xfId="0" builtinId="0"/>
    <cellStyle name="Normal 2" xfId="1" xr:uid="{00000000-0005-0000-0000-000002000000}"/>
    <cellStyle name="Normal 2 4" xfId="2" xr:uid="{00000000-0005-0000-0000-000003000000}"/>
    <cellStyle name="ارتباط تشعبي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4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g"/><Relationship Id="rId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1771650</xdr:rowOff>
    </xdr:from>
    <xdr:to>
      <xdr:col>3</xdr:col>
      <xdr:colOff>15500</xdr:colOff>
      <xdr:row>4</xdr:row>
      <xdr:rowOff>1704750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5695950"/>
          <a:ext cx="96800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40453</xdr:colOff>
      <xdr:row>3</xdr:row>
      <xdr:rowOff>1800000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924300"/>
          <a:ext cx="992953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20111</xdr:colOff>
      <xdr:row>5</xdr:row>
      <xdr:rowOff>1800000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7658100"/>
          <a:ext cx="972611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19996</xdr:colOff>
      <xdr:row>2</xdr:row>
      <xdr:rowOff>1800000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2057400"/>
          <a:ext cx="972496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66900</xdr:rowOff>
    </xdr:from>
    <xdr:to>
      <xdr:col>3</xdr:col>
      <xdr:colOff>36846</xdr:colOff>
      <xdr:row>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257400"/>
          <a:ext cx="989346" cy="18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0</xdr:rowOff>
    </xdr:from>
    <xdr:to>
      <xdr:col>3</xdr:col>
      <xdr:colOff>34352</xdr:colOff>
      <xdr:row>1</xdr:row>
      <xdr:rowOff>1800000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6" y="190500"/>
          <a:ext cx="986851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22799</xdr:colOff>
      <xdr:row>4</xdr:row>
      <xdr:rowOff>95475</xdr:rowOff>
    </xdr:from>
    <xdr:to>
      <xdr:col>3</xdr:col>
      <xdr:colOff>57150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5874" y="5972400"/>
          <a:ext cx="986851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29171</xdr:colOff>
      <xdr:row>3</xdr:row>
      <xdr:rowOff>1800000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981450"/>
          <a:ext cx="981671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22679</xdr:colOff>
      <xdr:row>2</xdr:row>
      <xdr:rowOff>1800000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2085975"/>
          <a:ext cx="975179" cy="18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1512000</xdr:colOff>
      <xdr:row>1</xdr:row>
      <xdr:rowOff>1080000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90500"/>
          <a:ext cx="15120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734400</xdr:colOff>
      <xdr:row>2</xdr:row>
      <xdr:rowOff>1080000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343025"/>
          <a:ext cx="7344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869565</xdr:colOff>
      <xdr:row>4</xdr:row>
      <xdr:rowOff>1080000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3667125"/>
          <a:ext cx="869565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1719975</xdr:colOff>
      <xdr:row>3</xdr:row>
      <xdr:rowOff>1080000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2505075"/>
          <a:ext cx="1920000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AF79"/>
  <sheetViews>
    <sheetView tabSelected="1" topLeftCell="A3" zoomScale="60" zoomScaleNormal="60" workbookViewId="0" xr3:uid="{AEA406A1-0E4B-5B11-9CD5-51D6E497D94C}">
      <pane ySplit="1" topLeftCell="A4" activePane="bottomLeft" state="frozen"/>
      <selection activeCell="A3" sqref="A3"/>
      <selection pane="bottomLeft" activeCell="I63" sqref="I63"/>
    </sheetView>
  </sheetViews>
  <sheetFormatPr defaultColWidth="7.7109375" defaultRowHeight="12.75"/>
  <cols>
    <col min="1" max="1" width="13.7109375" style="2" customWidth="1"/>
    <col min="2" max="2" width="12.85546875" style="39" bestFit="1" customWidth="1"/>
    <col min="3" max="3" width="26.85546875" style="23" customWidth="1"/>
    <col min="4" max="4" width="11.42578125" style="30" customWidth="1"/>
    <col min="5" max="5" width="12.42578125" style="30" customWidth="1"/>
    <col min="6" max="6" width="16.5703125" style="23" bestFit="1" customWidth="1"/>
    <col min="7" max="7" width="18.85546875" style="23" customWidth="1"/>
    <col min="8" max="8" width="16.28515625" style="23" bestFit="1" customWidth="1"/>
    <col min="9" max="9" width="17.28515625" style="23" bestFit="1" customWidth="1"/>
    <col min="10" max="10" width="17.5703125" style="23" bestFit="1" customWidth="1"/>
    <col min="11" max="11" width="22" style="23" bestFit="1" customWidth="1"/>
    <col min="12" max="12" width="15.85546875" style="23" bestFit="1" customWidth="1"/>
    <col min="13" max="13" width="10.42578125" style="30" bestFit="1" customWidth="1"/>
    <col min="14" max="14" width="24.85546875" style="23" bestFit="1" customWidth="1"/>
    <col min="15" max="15" width="19.42578125" style="23" bestFit="1" customWidth="1"/>
    <col min="16" max="16" width="18.42578125" style="23" bestFit="1" customWidth="1"/>
    <col min="17" max="18" width="17.5703125" style="23" bestFit="1" customWidth="1"/>
    <col min="19" max="19" width="23.7109375" style="23" bestFit="1" customWidth="1"/>
    <col min="20" max="20" width="23" style="23" bestFit="1" customWidth="1"/>
    <col min="21" max="21" width="23.42578125" style="23" bestFit="1" customWidth="1"/>
    <col min="22" max="22" width="20.5703125" style="13" customWidth="1"/>
    <col min="23" max="23" width="21.42578125" style="13" customWidth="1"/>
    <col min="24" max="24" width="20" style="13" customWidth="1"/>
    <col min="25" max="25" width="10.42578125" style="2" bestFit="1" customWidth="1"/>
    <col min="26" max="26" width="9.42578125" style="2" customWidth="1"/>
    <col min="27" max="28" width="7.7109375" style="2"/>
    <col min="29" max="29" width="9.28515625" style="2" customWidth="1"/>
    <col min="30" max="16384" width="7.7109375" style="2"/>
  </cols>
  <sheetData>
    <row r="1" spans="1:32" ht="26.25">
      <c r="A1" s="1" t="s">
        <v>0</v>
      </c>
      <c r="B1" s="34"/>
      <c r="C1" s="1"/>
      <c r="D1" s="24"/>
      <c r="E1" s="24"/>
      <c r="F1" s="1"/>
      <c r="G1" s="1"/>
      <c r="H1" s="1"/>
      <c r="I1" s="1"/>
      <c r="J1" s="1"/>
      <c r="K1" s="1"/>
      <c r="L1" s="1"/>
      <c r="M1" s="2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A1" s="3"/>
      <c r="AB1" s="3"/>
      <c r="AC1" s="3"/>
      <c r="AD1" s="3"/>
      <c r="AE1" s="3"/>
      <c r="AF1" s="3"/>
    </row>
    <row r="2" spans="1:32" ht="16.5">
      <c r="B2" s="35" t="s">
        <v>1</v>
      </c>
      <c r="C2" s="4" t="s">
        <v>1</v>
      </c>
      <c r="D2" s="25" t="s">
        <v>1</v>
      </c>
      <c r="E2" s="25" t="s">
        <v>1</v>
      </c>
      <c r="F2" s="4" t="s">
        <v>1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25"/>
      <c r="N2" s="4" t="s">
        <v>7</v>
      </c>
      <c r="O2" s="4" t="s">
        <v>8</v>
      </c>
      <c r="P2" s="4" t="s">
        <v>9</v>
      </c>
      <c r="Q2" s="4" t="s">
        <v>10</v>
      </c>
      <c r="R2" s="4" t="s">
        <v>11</v>
      </c>
      <c r="S2" s="4" t="s">
        <v>11</v>
      </c>
      <c r="T2" s="5"/>
      <c r="U2" s="5"/>
      <c r="V2" s="6"/>
      <c r="W2" s="6"/>
      <c r="X2" s="6"/>
      <c r="Y2" s="7"/>
      <c r="Z2" s="3"/>
      <c r="AA2" s="3"/>
      <c r="AB2" s="3"/>
      <c r="AC2" s="3"/>
      <c r="AD2" s="3"/>
      <c r="AE2" s="3"/>
      <c r="AF2" s="3"/>
    </row>
    <row r="3" spans="1:32" ht="47.25">
      <c r="A3" s="8" t="s">
        <v>12</v>
      </c>
      <c r="B3" s="36" t="s">
        <v>13</v>
      </c>
      <c r="C3" s="9" t="s">
        <v>14</v>
      </c>
      <c r="D3" s="26" t="s">
        <v>15</v>
      </c>
      <c r="E3" s="26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26" t="s">
        <v>24</v>
      </c>
      <c r="N3" s="10" t="s">
        <v>25</v>
      </c>
      <c r="O3" s="10" t="s">
        <v>26</v>
      </c>
      <c r="P3" s="10" t="s">
        <v>27</v>
      </c>
      <c r="Q3" s="9" t="s">
        <v>28</v>
      </c>
      <c r="R3" s="9" t="s">
        <v>29</v>
      </c>
      <c r="S3" s="9" t="s">
        <v>30</v>
      </c>
      <c r="T3" s="9" t="s">
        <v>31</v>
      </c>
      <c r="U3" s="9" t="s">
        <v>32</v>
      </c>
      <c r="V3" s="55" t="s">
        <v>33</v>
      </c>
      <c r="W3" s="55" t="s">
        <v>34</v>
      </c>
      <c r="X3" s="55" t="s">
        <v>35</v>
      </c>
      <c r="Y3" s="9" t="s">
        <v>36</v>
      </c>
      <c r="Z3" s="3"/>
      <c r="AA3" s="3"/>
      <c r="AB3" s="3"/>
      <c r="AC3" s="3"/>
      <c r="AD3" s="3"/>
      <c r="AE3" s="3"/>
      <c r="AF3" s="3"/>
    </row>
    <row r="4" spans="1:32" ht="31.9" hidden="1" customHeight="1">
      <c r="A4" s="11" t="s">
        <v>37</v>
      </c>
      <c r="B4" s="37"/>
      <c r="C4" s="12">
        <v>42214</v>
      </c>
      <c r="D4" s="27"/>
      <c r="E4" s="27"/>
      <c r="F4" s="12">
        <v>42214</v>
      </c>
      <c r="G4" s="12">
        <v>42214</v>
      </c>
      <c r="H4" s="12">
        <v>42236</v>
      </c>
      <c r="I4" s="12">
        <v>42257</v>
      </c>
      <c r="J4" s="12">
        <v>42257</v>
      </c>
      <c r="K4" s="12">
        <f t="shared" ref="K4:K20" si="0">R4-42</f>
        <v>42072</v>
      </c>
      <c r="L4" s="12">
        <f t="shared" ref="L4:L24" si="1">N4-33</f>
        <v>42024</v>
      </c>
      <c r="M4" s="27"/>
      <c r="N4" s="12">
        <f t="shared" ref="N4:N24" si="2">P4-10</f>
        <v>42057</v>
      </c>
      <c r="O4" s="12">
        <f t="shared" ref="O4:P34" si="3">P4-5</f>
        <v>42062</v>
      </c>
      <c r="P4" s="12">
        <f t="shared" si="3"/>
        <v>42067</v>
      </c>
      <c r="Q4" s="12">
        <f t="shared" ref="Q4:Q20" si="4">K4</f>
        <v>42072</v>
      </c>
      <c r="R4" s="12">
        <v>42114</v>
      </c>
      <c r="S4" s="12">
        <v>42114</v>
      </c>
      <c r="T4" s="12">
        <v>42114</v>
      </c>
      <c r="U4" s="12"/>
      <c r="V4" s="49"/>
      <c r="W4" s="49"/>
      <c r="X4" s="49"/>
      <c r="Y4" s="3">
        <v>0</v>
      </c>
      <c r="Z4" s="3"/>
      <c r="AA4" s="3"/>
      <c r="AB4" s="3"/>
      <c r="AC4" s="3"/>
      <c r="AD4" s="3"/>
      <c r="AE4" s="3"/>
      <c r="AF4" s="3"/>
    </row>
    <row r="5" spans="1:32" ht="31.9" hidden="1" customHeight="1">
      <c r="A5" s="11" t="s">
        <v>38</v>
      </c>
      <c r="B5" s="37"/>
      <c r="C5" s="12">
        <v>42214</v>
      </c>
      <c r="D5" s="27"/>
      <c r="E5" s="27"/>
      <c r="F5" s="12">
        <v>42214</v>
      </c>
      <c r="G5" s="12">
        <v>42214</v>
      </c>
      <c r="H5" s="12">
        <v>42236</v>
      </c>
      <c r="I5" s="12">
        <v>42257</v>
      </c>
      <c r="J5" s="12">
        <v>42257</v>
      </c>
      <c r="K5" s="12">
        <f>R5-42</f>
        <v>42072</v>
      </c>
      <c r="L5" s="12">
        <f>N5-33</f>
        <v>42024</v>
      </c>
      <c r="M5" s="27"/>
      <c r="N5" s="12">
        <f>P5-10</f>
        <v>42057</v>
      </c>
      <c r="O5" s="12">
        <f>P5-5</f>
        <v>42062</v>
      </c>
      <c r="P5" s="12">
        <f>Q5-5</f>
        <v>42067</v>
      </c>
      <c r="Q5" s="12">
        <f>K5</f>
        <v>42072</v>
      </c>
      <c r="R5" s="12">
        <v>42114</v>
      </c>
      <c r="S5" s="12">
        <v>42114</v>
      </c>
      <c r="T5" s="12">
        <v>42114</v>
      </c>
      <c r="U5" s="12"/>
      <c r="V5" s="49"/>
      <c r="W5" s="49"/>
      <c r="X5" s="49"/>
      <c r="Y5" s="3">
        <v>0</v>
      </c>
      <c r="Z5" s="3"/>
      <c r="AA5" s="3"/>
      <c r="AB5" s="3"/>
      <c r="AC5" s="3"/>
      <c r="AD5" s="3"/>
      <c r="AE5" s="3"/>
      <c r="AF5" s="3"/>
    </row>
    <row r="6" spans="1:32" ht="31.9" hidden="1" customHeight="1">
      <c r="A6" s="11" t="s">
        <v>39</v>
      </c>
      <c r="B6" s="37"/>
      <c r="C6" s="12">
        <v>42214</v>
      </c>
      <c r="D6" s="27"/>
      <c r="E6" s="27"/>
      <c r="F6" s="12">
        <v>42214</v>
      </c>
      <c r="G6" s="12">
        <v>42214</v>
      </c>
      <c r="H6" s="12">
        <v>42236</v>
      </c>
      <c r="I6" s="12">
        <v>42257</v>
      </c>
      <c r="J6" s="12">
        <v>42257</v>
      </c>
      <c r="K6" s="12">
        <f t="shared" si="0"/>
        <v>42102</v>
      </c>
      <c r="L6" s="12">
        <f t="shared" si="1"/>
        <v>42054</v>
      </c>
      <c r="M6" s="27"/>
      <c r="N6" s="12">
        <f t="shared" si="2"/>
        <v>42087</v>
      </c>
      <c r="O6" s="12">
        <f t="shared" si="3"/>
        <v>42092</v>
      </c>
      <c r="P6" s="12">
        <f t="shared" si="3"/>
        <v>42097</v>
      </c>
      <c r="Q6" s="12">
        <f t="shared" si="4"/>
        <v>42102</v>
      </c>
      <c r="R6" s="12">
        <v>42144</v>
      </c>
      <c r="S6" s="12">
        <v>42144</v>
      </c>
      <c r="T6" s="12">
        <v>42144</v>
      </c>
      <c r="U6" s="12"/>
      <c r="V6" s="49"/>
      <c r="W6" s="49"/>
      <c r="X6" s="49"/>
      <c r="Y6" s="3">
        <v>0</v>
      </c>
      <c r="Z6" s="3"/>
      <c r="AA6" s="3"/>
      <c r="AB6" s="3"/>
      <c r="AC6" s="3"/>
      <c r="AD6" s="3"/>
      <c r="AE6" s="3"/>
      <c r="AF6" s="3"/>
    </row>
    <row r="7" spans="1:32" ht="31.9" hidden="1" customHeight="1">
      <c r="A7" s="11" t="s">
        <v>40</v>
      </c>
      <c r="B7" s="37"/>
      <c r="C7" s="12">
        <v>42214</v>
      </c>
      <c r="D7" s="27"/>
      <c r="E7" s="27"/>
      <c r="F7" s="12">
        <v>42214</v>
      </c>
      <c r="G7" s="12">
        <v>42214</v>
      </c>
      <c r="H7" s="12">
        <v>42236</v>
      </c>
      <c r="I7" s="12">
        <v>42257</v>
      </c>
      <c r="J7" s="12">
        <v>42257</v>
      </c>
      <c r="K7" s="12">
        <f>R7-42</f>
        <v>42102</v>
      </c>
      <c r="L7" s="12">
        <f>N7-33</f>
        <v>42054</v>
      </c>
      <c r="M7" s="27"/>
      <c r="N7" s="12">
        <f>P7-10</f>
        <v>42087</v>
      </c>
      <c r="O7" s="12">
        <f>P7-5</f>
        <v>42092</v>
      </c>
      <c r="P7" s="12">
        <f>Q7-5</f>
        <v>42097</v>
      </c>
      <c r="Q7" s="12">
        <f>K7</f>
        <v>42102</v>
      </c>
      <c r="R7" s="12">
        <v>42144</v>
      </c>
      <c r="S7" s="12">
        <v>42144</v>
      </c>
      <c r="T7" s="12">
        <v>42144</v>
      </c>
      <c r="U7" s="12"/>
      <c r="V7" s="49"/>
      <c r="W7" s="49"/>
      <c r="X7" s="49"/>
      <c r="Y7" s="3">
        <v>0</v>
      </c>
      <c r="Z7" s="3"/>
      <c r="AA7" s="3"/>
      <c r="AB7" s="3"/>
      <c r="AC7" s="3"/>
      <c r="AD7" s="3"/>
      <c r="AE7" s="3"/>
      <c r="AF7" s="3"/>
    </row>
    <row r="8" spans="1:32" ht="31.9" hidden="1" customHeight="1">
      <c r="A8" s="11" t="s">
        <v>41</v>
      </c>
      <c r="B8" s="37"/>
      <c r="C8" s="12">
        <v>42214</v>
      </c>
      <c r="D8" s="27"/>
      <c r="E8" s="27"/>
      <c r="F8" s="12">
        <v>42214</v>
      </c>
      <c r="G8" s="12">
        <v>42214</v>
      </c>
      <c r="H8" s="12">
        <v>42236</v>
      </c>
      <c r="I8" s="12">
        <v>42257</v>
      </c>
      <c r="J8" s="12">
        <v>42257</v>
      </c>
      <c r="K8" s="12">
        <f t="shared" si="0"/>
        <v>42133</v>
      </c>
      <c r="L8" s="12">
        <f t="shared" si="1"/>
        <v>42085</v>
      </c>
      <c r="M8" s="27"/>
      <c r="N8" s="12">
        <f t="shared" si="2"/>
        <v>42118</v>
      </c>
      <c r="O8" s="12">
        <f t="shared" si="3"/>
        <v>42123</v>
      </c>
      <c r="P8" s="12">
        <f t="shared" si="3"/>
        <v>42128</v>
      </c>
      <c r="Q8" s="12">
        <f t="shared" si="4"/>
        <v>42133</v>
      </c>
      <c r="R8" s="12">
        <v>42175</v>
      </c>
      <c r="S8" s="12">
        <v>42175</v>
      </c>
      <c r="T8" s="12">
        <v>42175</v>
      </c>
      <c r="U8" s="12"/>
      <c r="V8" s="49"/>
      <c r="W8" s="49"/>
      <c r="X8" s="49"/>
      <c r="Y8" s="3">
        <v>0</v>
      </c>
      <c r="Z8" s="3"/>
      <c r="AA8" s="3"/>
      <c r="AB8" s="3"/>
      <c r="AC8" s="3"/>
      <c r="AD8" s="3"/>
      <c r="AE8" s="3"/>
      <c r="AF8" s="3"/>
    </row>
    <row r="9" spans="1:32" ht="31.9" hidden="1" customHeight="1">
      <c r="A9" s="11" t="s">
        <v>42</v>
      </c>
      <c r="B9" s="37"/>
      <c r="C9" s="12">
        <v>42214</v>
      </c>
      <c r="D9" s="27"/>
      <c r="E9" s="27"/>
      <c r="F9" s="12">
        <v>42214</v>
      </c>
      <c r="G9" s="12">
        <v>42214</v>
      </c>
      <c r="H9" s="12">
        <v>42236</v>
      </c>
      <c r="I9" s="12">
        <v>42257</v>
      </c>
      <c r="J9" s="12">
        <v>42257</v>
      </c>
      <c r="K9" s="12">
        <f>R9-42</f>
        <v>42133</v>
      </c>
      <c r="L9" s="12">
        <f>N9-33</f>
        <v>42085</v>
      </c>
      <c r="M9" s="27"/>
      <c r="N9" s="12">
        <f>P9-10</f>
        <v>42118</v>
      </c>
      <c r="O9" s="12">
        <f>P9-5</f>
        <v>42123</v>
      </c>
      <c r="P9" s="12">
        <f>Q9-5</f>
        <v>42128</v>
      </c>
      <c r="Q9" s="12">
        <f>K9</f>
        <v>42133</v>
      </c>
      <c r="R9" s="12">
        <v>42175</v>
      </c>
      <c r="S9" s="12">
        <v>42175</v>
      </c>
      <c r="T9" s="12">
        <v>42175</v>
      </c>
      <c r="U9" s="12"/>
      <c r="V9" s="49"/>
      <c r="W9" s="49"/>
      <c r="X9" s="49"/>
      <c r="Y9" s="3">
        <v>0</v>
      </c>
      <c r="Z9" s="3"/>
      <c r="AA9" s="3"/>
      <c r="AB9" s="3"/>
      <c r="AC9" s="3"/>
      <c r="AD9" s="3"/>
      <c r="AE9" s="3"/>
      <c r="AF9" s="3"/>
    </row>
    <row r="10" spans="1:32" ht="31.9" hidden="1" customHeight="1">
      <c r="A10" s="11" t="s">
        <v>43</v>
      </c>
      <c r="B10" s="37"/>
      <c r="C10" s="12">
        <v>42214</v>
      </c>
      <c r="D10" s="27"/>
      <c r="E10" s="27"/>
      <c r="F10" s="12">
        <v>42214</v>
      </c>
      <c r="G10" s="12">
        <v>42214</v>
      </c>
      <c r="H10" s="12">
        <v>42236</v>
      </c>
      <c r="I10" s="12">
        <v>42257</v>
      </c>
      <c r="J10" s="12">
        <v>42257</v>
      </c>
      <c r="K10" s="12">
        <f t="shared" si="0"/>
        <v>42163</v>
      </c>
      <c r="L10" s="12">
        <f t="shared" si="1"/>
        <v>42115</v>
      </c>
      <c r="M10" s="27"/>
      <c r="N10" s="12">
        <f t="shared" si="2"/>
        <v>42148</v>
      </c>
      <c r="O10" s="12">
        <f t="shared" si="3"/>
        <v>42153</v>
      </c>
      <c r="P10" s="12">
        <f t="shared" si="3"/>
        <v>42158</v>
      </c>
      <c r="Q10" s="12">
        <f t="shared" si="4"/>
        <v>42163</v>
      </c>
      <c r="R10" s="12">
        <v>42205</v>
      </c>
      <c r="S10" s="12">
        <v>42205</v>
      </c>
      <c r="T10" s="12">
        <v>42205</v>
      </c>
      <c r="U10" s="12"/>
      <c r="Y10" s="3">
        <v>0</v>
      </c>
      <c r="Z10" s="3"/>
      <c r="AA10" s="3"/>
      <c r="AB10" s="3"/>
      <c r="AC10" s="3"/>
      <c r="AD10" s="3"/>
      <c r="AE10" s="3"/>
      <c r="AF10" s="3"/>
    </row>
    <row r="11" spans="1:32" ht="31.9" hidden="1" customHeight="1">
      <c r="A11" s="11" t="s">
        <v>44</v>
      </c>
      <c r="B11" s="37"/>
      <c r="C11" s="12">
        <v>42214</v>
      </c>
      <c r="D11" s="27"/>
      <c r="E11" s="27"/>
      <c r="F11" s="12">
        <v>42214</v>
      </c>
      <c r="G11" s="12">
        <v>42214</v>
      </c>
      <c r="H11" s="12">
        <v>42236</v>
      </c>
      <c r="I11" s="12">
        <v>42257</v>
      </c>
      <c r="J11" s="12">
        <v>42257</v>
      </c>
      <c r="K11" s="12">
        <f>R11-42</f>
        <v>42163</v>
      </c>
      <c r="L11" s="12">
        <f>N11-33</f>
        <v>42115</v>
      </c>
      <c r="M11" s="27"/>
      <c r="N11" s="12">
        <f>P11-10</f>
        <v>42148</v>
      </c>
      <c r="O11" s="12">
        <f>P11-5</f>
        <v>42153</v>
      </c>
      <c r="P11" s="12">
        <f>Q11-5</f>
        <v>42158</v>
      </c>
      <c r="Q11" s="12">
        <f>K11</f>
        <v>42163</v>
      </c>
      <c r="R11" s="12">
        <v>42205</v>
      </c>
      <c r="S11" s="12">
        <v>42205</v>
      </c>
      <c r="T11" s="12">
        <v>42205</v>
      </c>
      <c r="U11" s="12"/>
      <c r="Y11" s="3">
        <v>0</v>
      </c>
      <c r="Z11" s="3"/>
      <c r="AA11" s="3"/>
      <c r="AB11" s="3"/>
      <c r="AC11" s="3"/>
      <c r="AD11" s="3"/>
      <c r="AE11" s="3"/>
      <c r="AF11" s="3"/>
    </row>
    <row r="12" spans="1:32" ht="31.9" hidden="1" customHeight="1">
      <c r="A12" s="11" t="s">
        <v>45</v>
      </c>
      <c r="B12" s="37"/>
      <c r="C12" s="12">
        <v>42214</v>
      </c>
      <c r="D12" s="27"/>
      <c r="E12" s="27"/>
      <c r="F12" s="12">
        <v>42214</v>
      </c>
      <c r="G12" s="12">
        <v>42214</v>
      </c>
      <c r="H12" s="12">
        <v>42236</v>
      </c>
      <c r="I12" s="12">
        <v>42257</v>
      </c>
      <c r="J12" s="12">
        <v>42257</v>
      </c>
      <c r="K12" s="12">
        <f t="shared" si="0"/>
        <v>42194</v>
      </c>
      <c r="L12" s="12">
        <f t="shared" si="1"/>
        <v>42146</v>
      </c>
      <c r="M12" s="27"/>
      <c r="N12" s="12">
        <f t="shared" si="2"/>
        <v>42179</v>
      </c>
      <c r="O12" s="12">
        <f t="shared" si="3"/>
        <v>42184</v>
      </c>
      <c r="P12" s="12">
        <f t="shared" si="3"/>
        <v>42189</v>
      </c>
      <c r="Q12" s="12">
        <f t="shared" si="4"/>
        <v>42194</v>
      </c>
      <c r="R12" s="12">
        <v>42236</v>
      </c>
      <c r="S12" s="12">
        <v>42236</v>
      </c>
      <c r="T12" s="12">
        <v>42236</v>
      </c>
      <c r="U12" s="12"/>
      <c r="V12" s="49"/>
      <c r="W12" s="49"/>
      <c r="X12" s="49"/>
      <c r="Y12" s="3">
        <v>0</v>
      </c>
      <c r="Z12" s="3"/>
      <c r="AA12" s="3"/>
      <c r="AB12" s="3"/>
      <c r="AC12" s="3"/>
      <c r="AD12" s="3"/>
      <c r="AE12" s="3"/>
      <c r="AF12" s="3"/>
    </row>
    <row r="13" spans="1:32" ht="31.9" hidden="1" customHeight="1">
      <c r="A13" s="11" t="s">
        <v>46</v>
      </c>
      <c r="B13" s="37"/>
      <c r="C13" s="12">
        <v>42214</v>
      </c>
      <c r="D13" s="27"/>
      <c r="E13" s="27"/>
      <c r="F13" s="12">
        <v>42214</v>
      </c>
      <c r="G13" s="12">
        <v>42214</v>
      </c>
      <c r="H13" s="12">
        <v>42236</v>
      </c>
      <c r="I13" s="12">
        <v>42257</v>
      </c>
      <c r="J13" s="12">
        <v>42257</v>
      </c>
      <c r="K13" s="12">
        <f>R13-42</f>
        <v>42194</v>
      </c>
      <c r="L13" s="12">
        <f>N13-33</f>
        <v>42146</v>
      </c>
      <c r="M13" s="27"/>
      <c r="N13" s="12">
        <f>P13-10</f>
        <v>42179</v>
      </c>
      <c r="O13" s="12">
        <f>P13-5</f>
        <v>42184</v>
      </c>
      <c r="P13" s="12">
        <f>Q13-5</f>
        <v>42189</v>
      </c>
      <c r="Q13" s="12">
        <f>K13</f>
        <v>42194</v>
      </c>
      <c r="R13" s="12">
        <v>42236</v>
      </c>
      <c r="S13" s="12">
        <v>42236</v>
      </c>
      <c r="T13" s="12">
        <v>42236</v>
      </c>
      <c r="U13" s="12"/>
      <c r="V13" s="49"/>
      <c r="W13" s="49"/>
      <c r="X13" s="49"/>
      <c r="Y13" s="3">
        <v>0</v>
      </c>
      <c r="Z13" s="3"/>
      <c r="AA13" s="3"/>
      <c r="AB13" s="3"/>
      <c r="AC13" s="3"/>
      <c r="AD13" s="3"/>
      <c r="AE13" s="3"/>
      <c r="AF13" s="3"/>
    </row>
    <row r="14" spans="1:32" ht="31.9" hidden="1" customHeight="1">
      <c r="A14" s="11" t="s">
        <v>47</v>
      </c>
      <c r="B14" s="37"/>
      <c r="C14" s="12">
        <v>42214</v>
      </c>
      <c r="D14" s="27"/>
      <c r="E14" s="27"/>
      <c r="F14" s="12">
        <v>42214</v>
      </c>
      <c r="G14" s="12">
        <v>42214</v>
      </c>
      <c r="H14" s="12">
        <v>42236</v>
      </c>
      <c r="I14" s="12">
        <v>42257</v>
      </c>
      <c r="J14" s="12">
        <v>42257</v>
      </c>
      <c r="K14" s="12">
        <f t="shared" si="0"/>
        <v>42225</v>
      </c>
      <c r="L14" s="12">
        <f t="shared" si="1"/>
        <v>42177</v>
      </c>
      <c r="M14" s="27"/>
      <c r="N14" s="12">
        <f t="shared" si="2"/>
        <v>42210</v>
      </c>
      <c r="O14" s="12">
        <f t="shared" si="3"/>
        <v>42215</v>
      </c>
      <c r="P14" s="12">
        <f t="shared" si="3"/>
        <v>42220</v>
      </c>
      <c r="Q14" s="12">
        <f t="shared" si="4"/>
        <v>42225</v>
      </c>
      <c r="R14" s="12">
        <v>42267</v>
      </c>
      <c r="S14" s="12">
        <v>42267</v>
      </c>
      <c r="T14" s="12">
        <v>42267</v>
      </c>
      <c r="U14" s="12"/>
      <c r="V14" s="49"/>
      <c r="W14" s="49"/>
      <c r="X14" s="49"/>
      <c r="Y14" s="3">
        <v>0</v>
      </c>
      <c r="Z14" s="3"/>
      <c r="AA14" s="3"/>
      <c r="AB14" s="3"/>
      <c r="AC14" s="3"/>
      <c r="AD14" s="3"/>
      <c r="AE14" s="3"/>
      <c r="AF14" s="3"/>
    </row>
    <row r="15" spans="1:32" ht="31.9" hidden="1" customHeight="1">
      <c r="A15" s="11" t="s">
        <v>48</v>
      </c>
      <c r="B15" s="37"/>
      <c r="C15" s="12">
        <v>42214</v>
      </c>
      <c r="D15" s="27"/>
      <c r="E15" s="27"/>
      <c r="F15" s="12">
        <v>42214</v>
      </c>
      <c r="G15" s="12">
        <v>42214</v>
      </c>
      <c r="H15" s="12">
        <v>42236</v>
      </c>
      <c r="I15" s="12">
        <v>42257</v>
      </c>
      <c r="J15" s="12">
        <v>42257</v>
      </c>
      <c r="K15" s="12">
        <f>R15-42</f>
        <v>42225</v>
      </c>
      <c r="L15" s="12">
        <f>N15-33</f>
        <v>42177</v>
      </c>
      <c r="M15" s="27"/>
      <c r="N15" s="12">
        <f>P15-10</f>
        <v>42210</v>
      </c>
      <c r="O15" s="12">
        <f>P15-5</f>
        <v>42215</v>
      </c>
      <c r="P15" s="12">
        <f>Q15-5</f>
        <v>42220</v>
      </c>
      <c r="Q15" s="12">
        <f>K15</f>
        <v>42225</v>
      </c>
      <c r="R15" s="12">
        <v>42267</v>
      </c>
      <c r="S15" s="12">
        <v>42267</v>
      </c>
      <c r="T15" s="12">
        <v>42267</v>
      </c>
      <c r="U15" s="12"/>
      <c r="V15" s="49"/>
      <c r="W15" s="49"/>
      <c r="X15" s="49"/>
      <c r="Y15" s="3">
        <v>0</v>
      </c>
      <c r="Z15" s="3"/>
      <c r="AA15" s="3"/>
      <c r="AB15" s="3"/>
      <c r="AC15" s="3"/>
      <c r="AD15" s="3"/>
      <c r="AE15" s="3"/>
      <c r="AF15" s="3"/>
    </row>
    <row r="16" spans="1:32" ht="31.9" hidden="1" customHeight="1">
      <c r="A16" s="11" t="s">
        <v>49</v>
      </c>
      <c r="B16" s="37"/>
      <c r="C16" s="12">
        <v>42214</v>
      </c>
      <c r="D16" s="27"/>
      <c r="E16" s="27"/>
      <c r="F16" s="12">
        <v>42214</v>
      </c>
      <c r="G16" s="12">
        <v>42214</v>
      </c>
      <c r="H16" s="12">
        <v>42236</v>
      </c>
      <c r="I16" s="12">
        <v>42257</v>
      </c>
      <c r="J16" s="12">
        <v>42257</v>
      </c>
      <c r="K16" s="12">
        <f t="shared" si="0"/>
        <v>42255</v>
      </c>
      <c r="L16" s="12">
        <f t="shared" si="1"/>
        <v>42207</v>
      </c>
      <c r="M16" s="27"/>
      <c r="N16" s="12">
        <f t="shared" si="2"/>
        <v>42240</v>
      </c>
      <c r="O16" s="12">
        <f t="shared" si="3"/>
        <v>42245</v>
      </c>
      <c r="P16" s="12">
        <f t="shared" si="3"/>
        <v>42250</v>
      </c>
      <c r="Q16" s="12">
        <f t="shared" si="4"/>
        <v>42255</v>
      </c>
      <c r="R16" s="12">
        <v>42297</v>
      </c>
      <c r="S16" s="12">
        <v>42297</v>
      </c>
      <c r="T16" s="12">
        <v>42297</v>
      </c>
      <c r="U16" s="12"/>
      <c r="V16" s="49"/>
      <c r="W16" s="49"/>
      <c r="X16" s="49"/>
      <c r="Y16" s="3">
        <v>0</v>
      </c>
      <c r="Z16" s="3"/>
      <c r="AA16" s="3"/>
      <c r="AB16" s="3"/>
      <c r="AC16" s="3"/>
      <c r="AD16" s="3"/>
      <c r="AE16" s="3"/>
      <c r="AF16" s="3"/>
    </row>
    <row r="17" spans="1:32" ht="31.9" hidden="1" customHeight="1">
      <c r="A17" s="11" t="s">
        <v>50</v>
      </c>
      <c r="B17" s="37"/>
      <c r="C17" s="12">
        <v>42214</v>
      </c>
      <c r="D17" s="27"/>
      <c r="E17" s="27"/>
      <c r="F17" s="12">
        <v>42214</v>
      </c>
      <c r="G17" s="12">
        <v>42214</v>
      </c>
      <c r="H17" s="12">
        <v>42236</v>
      </c>
      <c r="I17" s="12">
        <v>42257</v>
      </c>
      <c r="J17" s="12">
        <v>42257</v>
      </c>
      <c r="K17" s="12">
        <f>R17-42</f>
        <v>42255</v>
      </c>
      <c r="L17" s="12">
        <f>N17-33</f>
        <v>42207</v>
      </c>
      <c r="M17" s="27"/>
      <c r="N17" s="12">
        <f>P17-10</f>
        <v>42240</v>
      </c>
      <c r="O17" s="12">
        <f>P17-5</f>
        <v>42245</v>
      </c>
      <c r="P17" s="12">
        <f>Q17-5</f>
        <v>42250</v>
      </c>
      <c r="Q17" s="12">
        <f>K17</f>
        <v>42255</v>
      </c>
      <c r="R17" s="12">
        <v>42297</v>
      </c>
      <c r="S17" s="12">
        <v>42297</v>
      </c>
      <c r="T17" s="12">
        <v>42297</v>
      </c>
      <c r="U17" s="12"/>
      <c r="V17" s="49"/>
      <c r="W17" s="49"/>
      <c r="X17" s="49"/>
      <c r="Y17" s="3">
        <v>0</v>
      </c>
      <c r="Z17" s="3"/>
      <c r="AA17" s="3"/>
      <c r="AB17" s="3"/>
      <c r="AC17" s="3"/>
      <c r="AD17" s="3"/>
      <c r="AE17" s="3"/>
      <c r="AF17" s="3"/>
    </row>
    <row r="18" spans="1:32" ht="31.9" hidden="1" customHeight="1">
      <c r="A18" s="11" t="s">
        <v>51</v>
      </c>
      <c r="B18" s="37"/>
      <c r="C18" s="12">
        <v>42214</v>
      </c>
      <c r="D18" s="27"/>
      <c r="E18" s="27"/>
      <c r="F18" s="12">
        <v>42214</v>
      </c>
      <c r="G18" s="12">
        <v>42214</v>
      </c>
      <c r="H18" s="12">
        <v>42236</v>
      </c>
      <c r="I18" s="12">
        <v>42257</v>
      </c>
      <c r="J18" s="12">
        <v>42257</v>
      </c>
      <c r="K18" s="12">
        <f t="shared" si="0"/>
        <v>42286</v>
      </c>
      <c r="L18" s="12">
        <f t="shared" si="1"/>
        <v>42238</v>
      </c>
      <c r="M18" s="27"/>
      <c r="N18" s="12">
        <f t="shared" si="2"/>
        <v>42271</v>
      </c>
      <c r="O18" s="12">
        <f t="shared" si="3"/>
        <v>42276</v>
      </c>
      <c r="P18" s="12">
        <f t="shared" si="3"/>
        <v>42281</v>
      </c>
      <c r="Q18" s="12">
        <f t="shared" si="4"/>
        <v>42286</v>
      </c>
      <c r="R18" s="12">
        <v>42328</v>
      </c>
      <c r="S18" s="12">
        <v>42328</v>
      </c>
      <c r="T18" s="12">
        <v>42328</v>
      </c>
      <c r="U18" s="12"/>
      <c r="V18" s="49"/>
      <c r="W18" s="49"/>
      <c r="X18" s="49"/>
      <c r="Y18" s="3">
        <v>0</v>
      </c>
      <c r="Z18" s="3"/>
      <c r="AA18" s="3"/>
      <c r="AB18" s="3"/>
      <c r="AC18" s="3"/>
      <c r="AD18" s="3"/>
      <c r="AE18" s="3"/>
      <c r="AF18" s="3"/>
    </row>
    <row r="19" spans="1:32" ht="31.9" hidden="1" customHeight="1">
      <c r="A19" s="11" t="s">
        <v>52</v>
      </c>
      <c r="B19" s="37"/>
      <c r="C19" s="12">
        <v>42214</v>
      </c>
      <c r="D19" s="27"/>
      <c r="E19" s="27"/>
      <c r="F19" s="12">
        <v>42214</v>
      </c>
      <c r="G19" s="12">
        <v>42214</v>
      </c>
      <c r="H19" s="12">
        <v>42236</v>
      </c>
      <c r="I19" s="12">
        <v>42257</v>
      </c>
      <c r="J19" s="12">
        <v>42257</v>
      </c>
      <c r="K19" s="12">
        <f>R19-42</f>
        <v>42286</v>
      </c>
      <c r="L19" s="12">
        <f>N19-33</f>
        <v>42238</v>
      </c>
      <c r="M19" s="27"/>
      <c r="N19" s="12">
        <f>P19-10</f>
        <v>42271</v>
      </c>
      <c r="O19" s="12">
        <f>P19-5</f>
        <v>42276</v>
      </c>
      <c r="P19" s="12">
        <f>Q19-5</f>
        <v>42281</v>
      </c>
      <c r="Q19" s="12">
        <f>K19</f>
        <v>42286</v>
      </c>
      <c r="R19" s="12">
        <v>42328</v>
      </c>
      <c r="S19" s="12">
        <v>42328</v>
      </c>
      <c r="T19" s="12">
        <v>42328</v>
      </c>
      <c r="U19" s="12"/>
      <c r="V19" s="49"/>
      <c r="W19" s="49"/>
      <c r="X19" s="49"/>
      <c r="Y19" s="3">
        <v>0</v>
      </c>
      <c r="Z19" s="3"/>
      <c r="AA19" s="3"/>
      <c r="AB19" s="3"/>
      <c r="AC19" s="3"/>
      <c r="AD19" s="3"/>
      <c r="AE19" s="3"/>
      <c r="AF19" s="3"/>
    </row>
    <row r="20" spans="1:32" ht="31.9" hidden="1" customHeight="1">
      <c r="A20" s="11" t="s">
        <v>53</v>
      </c>
      <c r="B20" s="37"/>
      <c r="C20" s="12">
        <v>42245</v>
      </c>
      <c r="D20" s="27"/>
      <c r="E20" s="27"/>
      <c r="F20" s="12">
        <v>42245</v>
      </c>
      <c r="G20" s="12">
        <v>42245</v>
      </c>
      <c r="H20" s="12">
        <v>42267</v>
      </c>
      <c r="I20" s="12">
        <v>42287</v>
      </c>
      <c r="J20" s="12">
        <v>42287</v>
      </c>
      <c r="K20" s="12">
        <f t="shared" si="0"/>
        <v>42316</v>
      </c>
      <c r="L20" s="12">
        <f t="shared" si="1"/>
        <v>42268</v>
      </c>
      <c r="M20" s="27"/>
      <c r="N20" s="12">
        <f t="shared" si="2"/>
        <v>42301</v>
      </c>
      <c r="O20" s="12">
        <f t="shared" si="3"/>
        <v>42306</v>
      </c>
      <c r="P20" s="12">
        <f t="shared" si="3"/>
        <v>42311</v>
      </c>
      <c r="Q20" s="12">
        <f t="shared" si="4"/>
        <v>42316</v>
      </c>
      <c r="R20" s="12">
        <v>42358</v>
      </c>
      <c r="S20" s="12">
        <v>42358</v>
      </c>
      <c r="T20" s="12">
        <v>42358</v>
      </c>
      <c r="U20" s="12"/>
      <c r="V20" s="14"/>
      <c r="W20" s="14"/>
      <c r="X20" s="14"/>
      <c r="Y20" s="3">
        <v>0</v>
      </c>
      <c r="Z20" s="3"/>
      <c r="AA20" s="3"/>
      <c r="AB20" s="3"/>
      <c r="AC20" s="3"/>
      <c r="AD20" s="3"/>
      <c r="AE20" s="3"/>
      <c r="AF20" s="3"/>
    </row>
    <row r="21" spans="1:32" ht="31.9" hidden="1" customHeight="1">
      <c r="A21" s="11" t="s">
        <v>54</v>
      </c>
      <c r="B21" s="37"/>
      <c r="C21" s="12">
        <v>42245</v>
      </c>
      <c r="D21" s="27"/>
      <c r="E21" s="27"/>
      <c r="F21" s="12">
        <v>42245</v>
      </c>
      <c r="G21" s="12">
        <v>42245</v>
      </c>
      <c r="H21" s="12">
        <v>42267</v>
      </c>
      <c r="I21" s="12">
        <v>42287</v>
      </c>
      <c r="J21" s="12">
        <v>42287</v>
      </c>
      <c r="K21" s="12">
        <f>R21-42</f>
        <v>42316</v>
      </c>
      <c r="L21" s="12">
        <f>N21-33</f>
        <v>42268</v>
      </c>
      <c r="M21" s="27"/>
      <c r="N21" s="12">
        <f>P21-10</f>
        <v>42301</v>
      </c>
      <c r="O21" s="12">
        <f>P21-5</f>
        <v>42306</v>
      </c>
      <c r="P21" s="12">
        <f>Q21-5</f>
        <v>42311</v>
      </c>
      <c r="Q21" s="12">
        <f>K21</f>
        <v>42316</v>
      </c>
      <c r="R21" s="12">
        <v>42358</v>
      </c>
      <c r="S21" s="12">
        <v>42358</v>
      </c>
      <c r="T21" s="12">
        <v>42358</v>
      </c>
      <c r="U21" s="12"/>
      <c r="V21" s="14"/>
      <c r="W21" s="14"/>
      <c r="X21" s="14"/>
      <c r="Y21" s="3">
        <v>0</v>
      </c>
      <c r="Z21" s="3"/>
      <c r="AA21" s="3"/>
      <c r="AB21" s="3"/>
      <c r="AC21" s="3"/>
      <c r="AD21" s="3"/>
      <c r="AE21" s="3"/>
      <c r="AF21" s="3"/>
    </row>
    <row r="22" spans="1:32" ht="31.9" hidden="1" customHeight="1">
      <c r="A22" s="11" t="s">
        <v>55</v>
      </c>
      <c r="B22" s="37"/>
      <c r="C22" s="12">
        <v>42276</v>
      </c>
      <c r="D22" s="27"/>
      <c r="E22" s="27"/>
      <c r="F22" s="12">
        <v>42276</v>
      </c>
      <c r="G22" s="12">
        <v>42276</v>
      </c>
      <c r="H22" s="12">
        <v>42297</v>
      </c>
      <c r="I22" s="12">
        <v>42318</v>
      </c>
      <c r="J22" s="12">
        <v>42318</v>
      </c>
      <c r="K22" s="12">
        <f t="shared" ref="K22:K29" si="5">R22-21</f>
        <v>42467</v>
      </c>
      <c r="L22" s="12">
        <f t="shared" si="1"/>
        <v>42398</v>
      </c>
      <c r="M22" s="27"/>
      <c r="N22" s="12">
        <f t="shared" si="2"/>
        <v>42431</v>
      </c>
      <c r="O22" s="12">
        <f t="shared" si="3"/>
        <v>42436</v>
      </c>
      <c r="P22" s="12">
        <f t="shared" si="3"/>
        <v>42441</v>
      </c>
      <c r="Q22" s="12">
        <f t="shared" ref="Q22:Q27" si="6">K22-21</f>
        <v>42446</v>
      </c>
      <c r="R22" s="15">
        <v>42488</v>
      </c>
      <c r="S22" s="15">
        <v>42494</v>
      </c>
      <c r="T22" s="15">
        <v>42503</v>
      </c>
      <c r="U22" s="15">
        <f>T22+7</f>
        <v>42510</v>
      </c>
      <c r="Y22" s="3">
        <v>1</v>
      </c>
      <c r="Z22" s="3"/>
      <c r="AA22" s="3"/>
      <c r="AB22" s="3"/>
      <c r="AC22" s="3"/>
      <c r="AD22" s="3"/>
      <c r="AE22" s="3"/>
      <c r="AF22" s="3"/>
    </row>
    <row r="23" spans="1:32" ht="31.9" hidden="1" customHeight="1">
      <c r="A23" s="11" t="s">
        <v>56</v>
      </c>
      <c r="B23" s="37"/>
      <c r="C23" s="12">
        <v>42276</v>
      </c>
      <c r="D23" s="27"/>
      <c r="E23" s="27"/>
      <c r="F23" s="12">
        <v>42276</v>
      </c>
      <c r="G23" s="12">
        <v>42276</v>
      </c>
      <c r="H23" s="12">
        <v>42297</v>
      </c>
      <c r="I23" s="12">
        <v>42318</v>
      </c>
      <c r="J23" s="12">
        <v>42318</v>
      </c>
      <c r="K23" s="12">
        <f t="shared" si="5"/>
        <v>42467</v>
      </c>
      <c r="L23" s="12">
        <f>N23-33</f>
        <v>42398</v>
      </c>
      <c r="M23" s="27"/>
      <c r="N23" s="12">
        <f>P23-10</f>
        <v>42431</v>
      </c>
      <c r="O23" s="12">
        <f>P23-5</f>
        <v>42436</v>
      </c>
      <c r="P23" s="12">
        <f>Q23-5</f>
        <v>42441</v>
      </c>
      <c r="Q23" s="12">
        <f t="shared" si="6"/>
        <v>42446</v>
      </c>
      <c r="R23" s="15">
        <v>42488</v>
      </c>
      <c r="S23" s="15">
        <v>42494</v>
      </c>
      <c r="T23" s="15">
        <v>42503</v>
      </c>
      <c r="U23" s="18"/>
      <c r="Y23" s="3">
        <v>0</v>
      </c>
      <c r="Z23" s="3"/>
      <c r="AA23" s="3"/>
      <c r="AB23" s="3"/>
      <c r="AC23" s="3"/>
      <c r="AD23" s="3"/>
      <c r="AE23" s="3"/>
      <c r="AF23" s="3"/>
    </row>
    <row r="24" spans="1:32" ht="31.9" hidden="1" customHeight="1">
      <c r="A24" s="11" t="s">
        <v>57</v>
      </c>
      <c r="B24" s="37"/>
      <c r="C24" s="12">
        <v>42306</v>
      </c>
      <c r="D24" s="27"/>
      <c r="E24" s="27"/>
      <c r="F24" s="12">
        <v>42306</v>
      </c>
      <c r="G24" s="12">
        <v>42306</v>
      </c>
      <c r="H24" s="12">
        <v>42328</v>
      </c>
      <c r="I24" s="12">
        <v>42348</v>
      </c>
      <c r="J24" s="12">
        <v>42348</v>
      </c>
      <c r="K24" s="12">
        <f t="shared" si="5"/>
        <v>42620</v>
      </c>
      <c r="L24" s="12">
        <f t="shared" si="1"/>
        <v>42551</v>
      </c>
      <c r="M24" s="27"/>
      <c r="N24" s="12">
        <f t="shared" si="2"/>
        <v>42584</v>
      </c>
      <c r="O24" s="12">
        <f t="shared" si="3"/>
        <v>42589</v>
      </c>
      <c r="P24" s="12">
        <f t="shared" si="3"/>
        <v>42594</v>
      </c>
      <c r="Q24" s="12">
        <f t="shared" si="6"/>
        <v>42599</v>
      </c>
      <c r="R24" s="15">
        <f>S24-7</f>
        <v>42641</v>
      </c>
      <c r="S24" s="15">
        <f>T24-7</f>
        <v>42648</v>
      </c>
      <c r="T24" s="15">
        <v>42655</v>
      </c>
      <c r="U24" s="15"/>
      <c r="Y24" s="3">
        <v>1</v>
      </c>
      <c r="Z24" s="3"/>
      <c r="AA24" s="3"/>
      <c r="AB24" s="3"/>
      <c r="AC24" s="3"/>
      <c r="AD24" s="3"/>
      <c r="AE24" s="3"/>
      <c r="AF24" s="3"/>
    </row>
    <row r="25" spans="1:32" ht="31.9" hidden="1" customHeight="1">
      <c r="A25" s="11" t="s">
        <v>58</v>
      </c>
      <c r="B25" s="37"/>
      <c r="C25" s="12">
        <v>42306</v>
      </c>
      <c r="D25" s="27"/>
      <c r="E25" s="27"/>
      <c r="F25" s="12">
        <v>42306</v>
      </c>
      <c r="G25" s="12">
        <v>42306</v>
      </c>
      <c r="H25" s="12">
        <v>42328</v>
      </c>
      <c r="I25" s="12">
        <v>42348</v>
      </c>
      <c r="J25" s="12">
        <v>42348</v>
      </c>
      <c r="K25" s="12">
        <f t="shared" si="5"/>
        <v>42620</v>
      </c>
      <c r="L25" s="12">
        <f>N25-33</f>
        <v>42551</v>
      </c>
      <c r="M25" s="27"/>
      <c r="N25" s="12">
        <f>P25-10</f>
        <v>42584</v>
      </c>
      <c r="O25" s="12">
        <f>P25-5</f>
        <v>42589</v>
      </c>
      <c r="P25" s="12">
        <f>Q25-5</f>
        <v>42594</v>
      </c>
      <c r="Q25" s="12">
        <f t="shared" si="6"/>
        <v>42599</v>
      </c>
      <c r="R25" s="15">
        <f>S25-7</f>
        <v>42641</v>
      </c>
      <c r="S25" s="15">
        <f>T25-7</f>
        <v>42648</v>
      </c>
      <c r="T25" s="15">
        <v>42655</v>
      </c>
      <c r="U25" s="18"/>
      <c r="Y25" s="3">
        <v>0</v>
      </c>
      <c r="Z25" s="3"/>
      <c r="AA25" s="3"/>
      <c r="AB25" s="3"/>
      <c r="AC25" s="3"/>
      <c r="AD25" s="3"/>
      <c r="AE25" s="3"/>
      <c r="AF25" s="3"/>
    </row>
    <row r="26" spans="1:32" ht="31.9" hidden="1" customHeight="1">
      <c r="A26" s="11" t="s">
        <v>59</v>
      </c>
      <c r="B26" s="37"/>
      <c r="C26" s="12">
        <v>42374</v>
      </c>
      <c r="D26" s="27"/>
      <c r="E26" s="27"/>
      <c r="F26" s="12">
        <v>42374</v>
      </c>
      <c r="G26" s="12">
        <v>42374</v>
      </c>
      <c r="H26" s="12">
        <v>42358</v>
      </c>
      <c r="I26" s="12">
        <v>42379</v>
      </c>
      <c r="J26" s="12">
        <v>42379</v>
      </c>
      <c r="K26" s="12">
        <f t="shared" si="5"/>
        <v>42474</v>
      </c>
      <c r="L26" s="12">
        <f>N26-33</f>
        <v>42405</v>
      </c>
      <c r="M26" s="27"/>
      <c r="N26" s="12">
        <f>P26-10</f>
        <v>42438</v>
      </c>
      <c r="O26" s="12">
        <f t="shared" si="3"/>
        <v>42443</v>
      </c>
      <c r="P26" s="12">
        <f t="shared" si="3"/>
        <v>42448</v>
      </c>
      <c r="Q26" s="12">
        <f t="shared" si="6"/>
        <v>42453</v>
      </c>
      <c r="R26" s="15">
        <v>42495</v>
      </c>
      <c r="S26" s="16">
        <f>R26+7</f>
        <v>42502</v>
      </c>
      <c r="T26" s="15">
        <v>42510</v>
      </c>
      <c r="U26" s="15">
        <f>T26+8</f>
        <v>42518</v>
      </c>
      <c r="Y26" s="3">
        <v>1</v>
      </c>
      <c r="Z26" s="3"/>
      <c r="AA26" s="3"/>
      <c r="AB26" s="3"/>
      <c r="AC26" s="3"/>
      <c r="AD26" s="3"/>
      <c r="AE26" s="3"/>
      <c r="AF26" s="3"/>
    </row>
    <row r="27" spans="1:32" ht="31.9" hidden="1" customHeight="1">
      <c r="A27" s="11" t="s">
        <v>60</v>
      </c>
      <c r="B27" s="37"/>
      <c r="C27" s="12">
        <v>42374</v>
      </c>
      <c r="D27" s="27"/>
      <c r="E27" s="27"/>
      <c r="F27" s="12">
        <v>42374</v>
      </c>
      <c r="G27" s="12">
        <v>42374</v>
      </c>
      <c r="H27" s="12">
        <v>42358</v>
      </c>
      <c r="I27" s="12">
        <v>42379</v>
      </c>
      <c r="J27" s="12">
        <v>42379</v>
      </c>
      <c r="K27" s="12">
        <f t="shared" si="5"/>
        <v>42475</v>
      </c>
      <c r="L27" s="12">
        <f>N27-33</f>
        <v>42406</v>
      </c>
      <c r="M27" s="27"/>
      <c r="N27" s="12">
        <f>P27-10</f>
        <v>42439</v>
      </c>
      <c r="O27" s="12">
        <f>P27-5</f>
        <v>42444</v>
      </c>
      <c r="P27" s="12">
        <f>Q27-5</f>
        <v>42449</v>
      </c>
      <c r="Q27" s="12">
        <f t="shared" si="6"/>
        <v>42454</v>
      </c>
      <c r="R27" s="15">
        <v>42496</v>
      </c>
      <c r="S27" s="15">
        <f>R27+6</f>
        <v>42502</v>
      </c>
      <c r="T27" s="15">
        <v>42500</v>
      </c>
      <c r="U27" s="18"/>
      <c r="Y27" s="3">
        <v>1</v>
      </c>
      <c r="Z27" s="3"/>
      <c r="AA27" s="3"/>
      <c r="AB27" s="3"/>
      <c r="AC27" s="3"/>
      <c r="AD27" s="3"/>
      <c r="AE27" s="3"/>
      <c r="AF27" s="3"/>
    </row>
    <row r="28" spans="1:32" ht="31.9" hidden="1" customHeight="1">
      <c r="A28" s="11" t="s">
        <v>61</v>
      </c>
      <c r="B28" s="37"/>
      <c r="C28" s="12">
        <v>42385</v>
      </c>
      <c r="D28" s="27"/>
      <c r="E28" s="27"/>
      <c r="F28" s="12">
        <v>42385</v>
      </c>
      <c r="G28" s="12">
        <v>42385</v>
      </c>
      <c r="H28" s="12">
        <f>I28-21</f>
        <v>42402</v>
      </c>
      <c r="I28" s="12">
        <f>L28-21</f>
        <v>42423</v>
      </c>
      <c r="J28" s="12">
        <f>N28-21</f>
        <v>42456</v>
      </c>
      <c r="K28" s="12">
        <f t="shared" si="5"/>
        <v>42499</v>
      </c>
      <c r="L28" s="12">
        <f t="shared" ref="L28:L51" si="7">N28-33</f>
        <v>42444</v>
      </c>
      <c r="M28" s="27"/>
      <c r="N28" s="12">
        <f t="shared" ref="N28:N51" si="8">P28-10</f>
        <v>42477</v>
      </c>
      <c r="O28" s="12">
        <f t="shared" si="3"/>
        <v>42482</v>
      </c>
      <c r="P28" s="12">
        <f t="shared" si="3"/>
        <v>42487</v>
      </c>
      <c r="Q28" s="12">
        <f t="shared" ref="Q28:Q36" si="9">R28-28</f>
        <v>42492</v>
      </c>
      <c r="R28" s="15">
        <f>U26+2</f>
        <v>42520</v>
      </c>
      <c r="S28" s="15">
        <f>R28+11</f>
        <v>42531</v>
      </c>
      <c r="T28" s="15">
        <v>42536</v>
      </c>
      <c r="U28" s="15"/>
      <c r="Y28" s="3">
        <v>1</v>
      </c>
      <c r="Z28" s="3"/>
      <c r="AA28" s="3"/>
      <c r="AB28" s="3"/>
      <c r="AC28" s="3"/>
      <c r="AD28" s="3"/>
      <c r="AE28" s="3"/>
      <c r="AF28" s="3"/>
    </row>
    <row r="29" spans="1:32" ht="31.9" hidden="1" customHeight="1">
      <c r="A29" s="11" t="s">
        <v>62</v>
      </c>
      <c r="B29" s="37"/>
      <c r="C29" s="12">
        <v>42385</v>
      </c>
      <c r="D29" s="27"/>
      <c r="E29" s="27"/>
      <c r="F29" s="12">
        <v>42385</v>
      </c>
      <c r="G29" s="12">
        <v>42385</v>
      </c>
      <c r="H29" s="12">
        <f>I29-21</f>
        <v>42390</v>
      </c>
      <c r="I29" s="12">
        <f>L29-21</f>
        <v>42411</v>
      </c>
      <c r="J29" s="12">
        <f>N29-21</f>
        <v>42444</v>
      </c>
      <c r="K29" s="12">
        <f t="shared" si="5"/>
        <v>42487</v>
      </c>
      <c r="L29" s="12">
        <f>N29-33</f>
        <v>42432</v>
      </c>
      <c r="M29" s="27"/>
      <c r="N29" s="12">
        <f>P29-10</f>
        <v>42465</v>
      </c>
      <c r="O29" s="12">
        <f>P29-5</f>
        <v>42470</v>
      </c>
      <c r="P29" s="12">
        <f>Q29-5</f>
        <v>42475</v>
      </c>
      <c r="Q29" s="12">
        <f t="shared" si="9"/>
        <v>42480</v>
      </c>
      <c r="R29" s="15">
        <f>S29-7</f>
        <v>42508</v>
      </c>
      <c r="S29" s="15">
        <f>T29-7</f>
        <v>42515</v>
      </c>
      <c r="T29" s="16">
        <v>42522</v>
      </c>
      <c r="U29" s="15">
        <v>42563</v>
      </c>
      <c r="Y29" s="3">
        <v>1</v>
      </c>
      <c r="Z29" s="3"/>
      <c r="AA29" s="3"/>
      <c r="AB29" s="3"/>
      <c r="AC29" s="3"/>
      <c r="AD29" s="3"/>
      <c r="AE29" s="3"/>
      <c r="AF29" s="3"/>
    </row>
    <row r="30" spans="1:32" ht="31.9" hidden="1" customHeight="1">
      <c r="A30" s="11" t="s">
        <v>63</v>
      </c>
      <c r="B30" s="37"/>
      <c r="C30" s="12">
        <f>F30-21</f>
        <v>42355</v>
      </c>
      <c r="D30" s="27"/>
      <c r="E30" s="27"/>
      <c r="F30" s="12">
        <f t="shared" ref="F30:G51" si="10">G30-21</f>
        <v>42376</v>
      </c>
      <c r="G30" s="12">
        <f t="shared" si="10"/>
        <v>42397</v>
      </c>
      <c r="H30" s="12">
        <f t="shared" ref="H30:J31" si="11">I30-7</f>
        <v>42418</v>
      </c>
      <c r="I30" s="12">
        <f t="shared" si="11"/>
        <v>42425</v>
      </c>
      <c r="J30" s="12">
        <f t="shared" si="11"/>
        <v>42432</v>
      </c>
      <c r="K30" s="12">
        <f>L30-21</f>
        <v>42439</v>
      </c>
      <c r="L30" s="12">
        <f t="shared" si="7"/>
        <v>42460</v>
      </c>
      <c r="M30" s="27"/>
      <c r="N30" s="12">
        <f t="shared" si="8"/>
        <v>42493</v>
      </c>
      <c r="O30" s="12">
        <f t="shared" si="3"/>
        <v>42498</v>
      </c>
      <c r="P30" s="12">
        <f t="shared" si="3"/>
        <v>42503</v>
      </c>
      <c r="Q30" s="12">
        <f t="shared" si="9"/>
        <v>42508</v>
      </c>
      <c r="R30" s="15">
        <f>S30-8</f>
        <v>42536</v>
      </c>
      <c r="S30" s="15">
        <f t="shared" ref="S30:S36" si="12">T30-7</f>
        <v>42544</v>
      </c>
      <c r="T30" s="15">
        <v>42551</v>
      </c>
      <c r="U30" s="15">
        <f>T30+6</f>
        <v>42557</v>
      </c>
      <c r="V30" s="50"/>
      <c r="W30" s="50"/>
      <c r="X30" s="50"/>
      <c r="Y30" s="3">
        <v>1</v>
      </c>
      <c r="Z30" s="3"/>
      <c r="AA30" s="3"/>
      <c r="AB30" s="3"/>
      <c r="AC30" s="3"/>
      <c r="AD30" s="3"/>
      <c r="AE30" s="3"/>
      <c r="AF30" s="3"/>
    </row>
    <row r="31" spans="1:32" ht="31.9" hidden="1" customHeight="1">
      <c r="A31" s="11" t="s">
        <v>64</v>
      </c>
      <c r="B31" s="37"/>
      <c r="C31" s="12">
        <f>F31-21</f>
        <v>42356</v>
      </c>
      <c r="D31" s="27"/>
      <c r="E31" s="27"/>
      <c r="F31" s="12">
        <f t="shared" si="10"/>
        <v>42377</v>
      </c>
      <c r="G31" s="12">
        <f t="shared" si="10"/>
        <v>42398</v>
      </c>
      <c r="H31" s="12">
        <f t="shared" si="11"/>
        <v>42419</v>
      </c>
      <c r="I31" s="12">
        <f t="shared" si="11"/>
        <v>42426</v>
      </c>
      <c r="J31" s="12">
        <f t="shared" si="11"/>
        <v>42433</v>
      </c>
      <c r="K31" s="12">
        <f>L31-21</f>
        <v>42440</v>
      </c>
      <c r="L31" s="12">
        <f>N31-33</f>
        <v>42461</v>
      </c>
      <c r="M31" s="27"/>
      <c r="N31" s="12">
        <f>P31-10</f>
        <v>42494</v>
      </c>
      <c r="O31" s="12">
        <f>P31-5</f>
        <v>42499</v>
      </c>
      <c r="P31" s="12">
        <f>Q31-5</f>
        <v>42504</v>
      </c>
      <c r="Q31" s="12">
        <f t="shared" si="9"/>
        <v>42509</v>
      </c>
      <c r="R31" s="15">
        <f>S31-7</f>
        <v>42537</v>
      </c>
      <c r="S31" s="15">
        <f t="shared" si="12"/>
        <v>42544</v>
      </c>
      <c r="T31" s="15">
        <v>42551</v>
      </c>
      <c r="U31" s="18"/>
      <c r="V31" s="51"/>
      <c r="W31" s="51"/>
      <c r="X31" s="51"/>
      <c r="Y31" s="3">
        <v>1</v>
      </c>
      <c r="Z31" s="3"/>
      <c r="AA31" s="3"/>
      <c r="AB31" s="3"/>
      <c r="AC31" s="3"/>
      <c r="AD31" s="3"/>
      <c r="AE31" s="3"/>
      <c r="AF31" s="3"/>
    </row>
    <row r="32" spans="1:32" ht="31.9" hidden="1" customHeight="1">
      <c r="A32" s="11" t="s">
        <v>65</v>
      </c>
      <c r="B32" s="37"/>
      <c r="C32" s="12">
        <f>F32-21</f>
        <v>42397</v>
      </c>
      <c r="D32" s="27"/>
      <c r="E32" s="27"/>
      <c r="F32" s="12">
        <f t="shared" si="10"/>
        <v>42418</v>
      </c>
      <c r="G32" s="12">
        <f t="shared" si="10"/>
        <v>42439</v>
      </c>
      <c r="H32" s="12">
        <f t="shared" ref="H32:H51" si="13">I32-21</f>
        <v>42460</v>
      </c>
      <c r="I32" s="12">
        <f t="shared" ref="I32:J51" si="14">J32-7</f>
        <v>42481</v>
      </c>
      <c r="J32" s="12">
        <f t="shared" si="14"/>
        <v>42488</v>
      </c>
      <c r="K32" s="12">
        <f t="shared" ref="K32:K51" si="15">L32-21</f>
        <v>42495</v>
      </c>
      <c r="L32" s="12">
        <f t="shared" si="7"/>
        <v>42516</v>
      </c>
      <c r="M32" s="27"/>
      <c r="N32" s="12">
        <f t="shared" si="8"/>
        <v>42549</v>
      </c>
      <c r="O32" s="12">
        <f t="shared" si="3"/>
        <v>42554</v>
      </c>
      <c r="P32" s="12">
        <f t="shared" si="3"/>
        <v>42559</v>
      </c>
      <c r="Q32" s="12">
        <f t="shared" si="9"/>
        <v>42564</v>
      </c>
      <c r="R32" s="15">
        <f>S32-7</f>
        <v>42592</v>
      </c>
      <c r="S32" s="15">
        <f t="shared" si="12"/>
        <v>42599</v>
      </c>
      <c r="T32" s="15">
        <v>42606</v>
      </c>
      <c r="U32" s="15"/>
      <c r="Y32" s="3">
        <v>1</v>
      </c>
      <c r="Z32" s="3"/>
      <c r="AA32" s="3"/>
      <c r="AB32" s="3"/>
      <c r="AC32" s="3"/>
      <c r="AD32" s="3"/>
      <c r="AE32" s="3"/>
      <c r="AF32" s="3"/>
    </row>
    <row r="33" spans="1:32" ht="31.9" hidden="1" customHeight="1">
      <c r="A33" s="11" t="s">
        <v>66</v>
      </c>
      <c r="B33" s="37"/>
      <c r="C33" s="12">
        <f>F33-21</f>
        <v>42397</v>
      </c>
      <c r="D33" s="27"/>
      <c r="E33" s="27"/>
      <c r="F33" s="12">
        <f t="shared" si="10"/>
        <v>42418</v>
      </c>
      <c r="G33" s="12">
        <f t="shared" si="10"/>
        <v>42439</v>
      </c>
      <c r="H33" s="12">
        <f t="shared" si="13"/>
        <v>42460</v>
      </c>
      <c r="I33" s="12">
        <f>J33-7</f>
        <v>42481</v>
      </c>
      <c r="J33" s="12">
        <f>K33-7</f>
        <v>42488</v>
      </c>
      <c r="K33" s="12">
        <f>L33-21</f>
        <v>42495</v>
      </c>
      <c r="L33" s="12">
        <f>N33-33</f>
        <v>42516</v>
      </c>
      <c r="M33" s="27"/>
      <c r="N33" s="12">
        <f>P33-10</f>
        <v>42549</v>
      </c>
      <c r="O33" s="12">
        <f>P33-5</f>
        <v>42554</v>
      </c>
      <c r="P33" s="12">
        <f>Q33-5</f>
        <v>42559</v>
      </c>
      <c r="Q33" s="12">
        <f t="shared" si="9"/>
        <v>42564</v>
      </c>
      <c r="R33" s="15">
        <f>S33-7</f>
        <v>42592</v>
      </c>
      <c r="S33" s="15">
        <f t="shared" si="12"/>
        <v>42599</v>
      </c>
      <c r="T33" s="15">
        <v>42606</v>
      </c>
      <c r="U33" s="18"/>
      <c r="V33" s="31"/>
      <c r="W33" s="31"/>
      <c r="X33" s="31"/>
      <c r="Y33" s="3">
        <v>0</v>
      </c>
      <c r="Z33" s="3"/>
      <c r="AA33" s="3"/>
      <c r="AB33" s="3"/>
      <c r="AC33" s="3"/>
      <c r="AD33" s="3"/>
      <c r="AE33" s="3"/>
      <c r="AF33" s="3"/>
    </row>
    <row r="34" spans="1:32" ht="31.9" customHeight="1">
      <c r="A34" s="11" t="s">
        <v>67</v>
      </c>
      <c r="B34" s="37"/>
      <c r="C34" s="33" t="s">
        <v>68</v>
      </c>
      <c r="D34" s="27">
        <v>18</v>
      </c>
      <c r="E34" s="27"/>
      <c r="F34" s="12">
        <f t="shared" si="10"/>
        <v>42465</v>
      </c>
      <c r="G34" s="12">
        <f t="shared" si="10"/>
        <v>42486</v>
      </c>
      <c r="H34" s="12">
        <f t="shared" si="13"/>
        <v>42507</v>
      </c>
      <c r="I34" s="12">
        <f t="shared" si="14"/>
        <v>42528</v>
      </c>
      <c r="J34" s="12">
        <f t="shared" si="14"/>
        <v>42535</v>
      </c>
      <c r="K34" s="12">
        <f t="shared" si="15"/>
        <v>42542</v>
      </c>
      <c r="L34" s="12">
        <f t="shared" si="7"/>
        <v>42563</v>
      </c>
      <c r="M34" s="27">
        <v>43000</v>
      </c>
      <c r="N34" s="12">
        <f t="shared" si="8"/>
        <v>42596</v>
      </c>
      <c r="O34" s="12">
        <f t="shared" si="3"/>
        <v>42601</v>
      </c>
      <c r="P34" s="12">
        <f t="shared" si="3"/>
        <v>42606</v>
      </c>
      <c r="Q34" s="12">
        <f t="shared" si="9"/>
        <v>42611</v>
      </c>
      <c r="R34" s="15">
        <f>S34-14</f>
        <v>42639</v>
      </c>
      <c r="S34" s="15">
        <f t="shared" si="12"/>
        <v>42653</v>
      </c>
      <c r="T34" s="15">
        <v>42660</v>
      </c>
      <c r="U34" s="18"/>
      <c r="V34" s="18"/>
      <c r="W34" s="18"/>
      <c r="X34" s="18"/>
      <c r="Y34" s="3">
        <v>1</v>
      </c>
      <c r="Z34" s="3"/>
      <c r="AA34" s="3"/>
      <c r="AB34" s="3"/>
      <c r="AC34" s="3"/>
      <c r="AD34" s="3"/>
      <c r="AE34" s="3"/>
      <c r="AF34" s="3"/>
    </row>
    <row r="35" spans="1:32" ht="31.9" customHeight="1">
      <c r="A35" s="11" t="s">
        <v>69</v>
      </c>
      <c r="B35" s="37"/>
      <c r="C35" s="33" t="s">
        <v>70</v>
      </c>
      <c r="D35" s="27">
        <v>21</v>
      </c>
      <c r="E35" s="27"/>
      <c r="F35" s="12">
        <f t="shared" si="10"/>
        <v>42334</v>
      </c>
      <c r="G35" s="12">
        <f t="shared" si="10"/>
        <v>42355</v>
      </c>
      <c r="H35" s="12">
        <f t="shared" si="13"/>
        <v>42376</v>
      </c>
      <c r="I35" s="12">
        <f>J35-7</f>
        <v>42397</v>
      </c>
      <c r="J35" s="12">
        <f>K35-7</f>
        <v>42404</v>
      </c>
      <c r="K35" s="12">
        <f>L35-21</f>
        <v>42411</v>
      </c>
      <c r="L35" s="12">
        <f>N35-33</f>
        <v>42432</v>
      </c>
      <c r="M35" s="27">
        <v>31000</v>
      </c>
      <c r="N35" s="12">
        <f>P35-10</f>
        <v>42465</v>
      </c>
      <c r="O35" s="12">
        <f>P35-5</f>
        <v>42470</v>
      </c>
      <c r="P35" s="12">
        <f>Q35-5</f>
        <v>42475</v>
      </c>
      <c r="Q35" s="12">
        <f t="shared" si="9"/>
        <v>42480</v>
      </c>
      <c r="R35" s="15">
        <f>S35-7</f>
        <v>42508</v>
      </c>
      <c r="S35" s="15">
        <f t="shared" si="12"/>
        <v>42515</v>
      </c>
      <c r="T35" s="15">
        <v>42522</v>
      </c>
      <c r="U35" s="18"/>
      <c r="V35" s="18"/>
      <c r="W35" s="18"/>
      <c r="X35" s="18"/>
      <c r="Y35" s="3">
        <v>1</v>
      </c>
      <c r="Z35" s="3"/>
      <c r="AA35" s="3"/>
      <c r="AB35" s="3"/>
      <c r="AC35" s="3"/>
      <c r="AD35" s="3"/>
      <c r="AE35" s="3"/>
      <c r="AF35" s="3"/>
    </row>
    <row r="36" spans="1:32" ht="31.9" customHeight="1">
      <c r="A36" s="11" t="s">
        <v>71</v>
      </c>
      <c r="B36" s="37"/>
      <c r="C36" s="33" t="s">
        <v>68</v>
      </c>
      <c r="D36" s="27">
        <v>18</v>
      </c>
      <c r="E36" s="27"/>
      <c r="F36" s="12">
        <f t="shared" si="10"/>
        <v>42550</v>
      </c>
      <c r="G36" s="12">
        <f t="shared" si="10"/>
        <v>42571</v>
      </c>
      <c r="H36" s="12">
        <f t="shared" si="13"/>
        <v>42592</v>
      </c>
      <c r="I36" s="12">
        <f t="shared" si="14"/>
        <v>42613</v>
      </c>
      <c r="J36" s="12">
        <f t="shared" si="14"/>
        <v>42620</v>
      </c>
      <c r="K36" s="12">
        <f t="shared" si="15"/>
        <v>42627</v>
      </c>
      <c r="L36" s="12">
        <f t="shared" si="7"/>
        <v>42648</v>
      </c>
      <c r="M36" s="27">
        <v>48000</v>
      </c>
      <c r="N36" s="12">
        <f t="shared" si="8"/>
        <v>42681</v>
      </c>
      <c r="O36" s="12">
        <f t="shared" ref="O36:P51" si="16">P36-5</f>
        <v>42686</v>
      </c>
      <c r="P36" s="12">
        <f t="shared" si="16"/>
        <v>42691</v>
      </c>
      <c r="Q36" s="12">
        <f t="shared" si="9"/>
        <v>42696</v>
      </c>
      <c r="R36" s="15">
        <f>S36-7</f>
        <v>42724</v>
      </c>
      <c r="S36" s="15">
        <f t="shared" si="12"/>
        <v>42731</v>
      </c>
      <c r="T36" s="15">
        <v>42738</v>
      </c>
      <c r="U36" s="18"/>
      <c r="V36" s="18"/>
      <c r="W36" s="18"/>
      <c r="X36" s="18"/>
      <c r="Y36" s="3">
        <v>1</v>
      </c>
      <c r="Z36" s="17"/>
    </row>
    <row r="37" spans="1:32" ht="31.9" customHeight="1">
      <c r="A37" s="11" t="s">
        <v>72</v>
      </c>
      <c r="B37" s="37" t="s">
        <v>73</v>
      </c>
      <c r="C37" s="33" t="s">
        <v>74</v>
      </c>
      <c r="D37" s="27">
        <v>12</v>
      </c>
      <c r="E37" s="27"/>
      <c r="F37" s="12">
        <f t="shared" ref="F37:H39" si="17">G37-21</f>
        <v>42600</v>
      </c>
      <c r="G37" s="12">
        <f t="shared" si="17"/>
        <v>42621</v>
      </c>
      <c r="H37" s="12">
        <f t="shared" si="17"/>
        <v>42642</v>
      </c>
      <c r="I37" s="12">
        <f t="shared" ref="I37:J39" si="18">J37-7</f>
        <v>42663</v>
      </c>
      <c r="J37" s="12">
        <f t="shared" si="18"/>
        <v>42670</v>
      </c>
      <c r="K37" s="12">
        <f>L37-21</f>
        <v>42677</v>
      </c>
      <c r="L37" s="12">
        <f>N37-33</f>
        <v>42698</v>
      </c>
      <c r="M37" s="27">
        <v>32400</v>
      </c>
      <c r="N37" s="12">
        <f>P37-10</f>
        <v>42731</v>
      </c>
      <c r="O37" s="12">
        <f t="shared" ref="O37:P39" si="19">P37-5</f>
        <v>42736</v>
      </c>
      <c r="P37" s="18">
        <f t="shared" si="19"/>
        <v>42741</v>
      </c>
      <c r="Q37" s="18">
        <f>R37-28</f>
        <v>42746</v>
      </c>
      <c r="R37" s="15">
        <f>S37-7</f>
        <v>42774</v>
      </c>
      <c r="S37" s="15">
        <f>T37-7</f>
        <v>42781</v>
      </c>
      <c r="T37" s="15">
        <v>42788</v>
      </c>
      <c r="U37" s="12"/>
      <c r="V37" s="18"/>
      <c r="W37" s="18"/>
      <c r="X37" s="18"/>
      <c r="Y37" s="3">
        <v>1</v>
      </c>
    </row>
    <row r="38" spans="1:32" ht="31.9" customHeight="1">
      <c r="A38" s="11" t="s">
        <v>75</v>
      </c>
      <c r="B38" s="37" t="s">
        <v>73</v>
      </c>
      <c r="C38" s="33" t="s">
        <v>70</v>
      </c>
      <c r="D38" s="27">
        <v>20</v>
      </c>
      <c r="E38" s="27"/>
      <c r="F38" s="12">
        <f t="shared" si="17"/>
        <v>42544</v>
      </c>
      <c r="G38" s="12">
        <f t="shared" si="17"/>
        <v>42565</v>
      </c>
      <c r="H38" s="12">
        <f t="shared" si="17"/>
        <v>42586</v>
      </c>
      <c r="I38" s="12">
        <f t="shared" si="18"/>
        <v>42607</v>
      </c>
      <c r="J38" s="12">
        <f t="shared" si="18"/>
        <v>42614</v>
      </c>
      <c r="K38" s="12">
        <f>L38-21</f>
        <v>42621</v>
      </c>
      <c r="L38" s="12">
        <f>N38-33</f>
        <v>42642</v>
      </c>
      <c r="M38" s="27">
        <v>40810</v>
      </c>
      <c r="N38" s="12">
        <f>P38-10</f>
        <v>42675</v>
      </c>
      <c r="O38" s="12">
        <f t="shared" si="19"/>
        <v>42680</v>
      </c>
      <c r="P38" s="18">
        <f t="shared" si="19"/>
        <v>42685</v>
      </c>
      <c r="Q38" s="18">
        <f>R38-28</f>
        <v>42690</v>
      </c>
      <c r="R38" s="15">
        <f>S38-14</f>
        <v>42718</v>
      </c>
      <c r="S38" s="15">
        <f>T38-11</f>
        <v>42732</v>
      </c>
      <c r="T38" s="15">
        <v>42743</v>
      </c>
      <c r="U38" s="12"/>
      <c r="V38" s="18"/>
      <c r="W38" s="18"/>
      <c r="X38" s="18"/>
      <c r="Y38" s="3">
        <v>1</v>
      </c>
    </row>
    <row r="39" spans="1:32" ht="31.9" customHeight="1">
      <c r="A39" s="11" t="s">
        <v>76</v>
      </c>
      <c r="B39" s="37" t="s">
        <v>77</v>
      </c>
      <c r="C39" s="33" t="s">
        <v>70</v>
      </c>
      <c r="D39" s="27">
        <v>13</v>
      </c>
      <c r="E39" s="27"/>
      <c r="F39" s="12">
        <f t="shared" si="17"/>
        <v>42566</v>
      </c>
      <c r="G39" s="12">
        <f t="shared" si="17"/>
        <v>42587</v>
      </c>
      <c r="H39" s="12">
        <f t="shared" si="17"/>
        <v>42608</v>
      </c>
      <c r="I39" s="12">
        <f t="shared" si="18"/>
        <v>42629</v>
      </c>
      <c r="J39" s="12">
        <f t="shared" si="18"/>
        <v>42636</v>
      </c>
      <c r="K39" s="12">
        <f>L39-21</f>
        <v>42643</v>
      </c>
      <c r="L39" s="12">
        <f>N39-33</f>
        <v>42664</v>
      </c>
      <c r="M39" s="27">
        <v>24310</v>
      </c>
      <c r="N39" s="12">
        <f>P39-10</f>
        <v>42697</v>
      </c>
      <c r="O39" s="12">
        <f t="shared" si="19"/>
        <v>42702</v>
      </c>
      <c r="P39" s="12">
        <f t="shared" si="19"/>
        <v>42707</v>
      </c>
      <c r="Q39" s="12">
        <f>R39-28</f>
        <v>42712</v>
      </c>
      <c r="R39" s="15">
        <f>S39-28</f>
        <v>42740</v>
      </c>
      <c r="S39" s="15">
        <f>T39-14</f>
        <v>42768</v>
      </c>
      <c r="T39" s="15">
        <v>42782</v>
      </c>
      <c r="U39" s="12"/>
      <c r="V39" s="18"/>
      <c r="W39" s="18"/>
      <c r="X39" s="18"/>
      <c r="Y39" s="3">
        <v>1</v>
      </c>
    </row>
    <row r="40" spans="1:32" ht="31.9" customHeight="1">
      <c r="A40" s="11" t="s">
        <v>78</v>
      </c>
      <c r="B40" s="38" t="s">
        <v>77</v>
      </c>
      <c r="C40" s="33" t="s">
        <v>79</v>
      </c>
      <c r="D40" s="27">
        <v>8</v>
      </c>
      <c r="E40" s="27">
        <v>4</v>
      </c>
      <c r="F40" s="12">
        <f t="shared" si="10"/>
        <v>42606</v>
      </c>
      <c r="G40" s="12">
        <f t="shared" si="10"/>
        <v>42627</v>
      </c>
      <c r="H40" s="12">
        <f t="shared" si="13"/>
        <v>42648</v>
      </c>
      <c r="I40" s="12">
        <f t="shared" si="14"/>
        <v>42669</v>
      </c>
      <c r="J40" s="12">
        <f t="shared" si="14"/>
        <v>42676</v>
      </c>
      <c r="K40" s="12">
        <f t="shared" si="15"/>
        <v>42683</v>
      </c>
      <c r="L40" s="12">
        <f t="shared" si="7"/>
        <v>42704</v>
      </c>
      <c r="M40" s="27">
        <v>33000</v>
      </c>
      <c r="N40" s="12">
        <f t="shared" si="8"/>
        <v>42737</v>
      </c>
      <c r="O40" s="12">
        <f t="shared" si="16"/>
        <v>42742</v>
      </c>
      <c r="P40" s="18">
        <f t="shared" si="16"/>
        <v>42747</v>
      </c>
      <c r="Q40" s="18">
        <f t="shared" ref="Q40:Q51" si="20">R40-28</f>
        <v>42752</v>
      </c>
      <c r="R40" s="18">
        <f t="shared" ref="R40:S44" si="21">S40-7</f>
        <v>42780</v>
      </c>
      <c r="S40" s="18">
        <f t="shared" si="21"/>
        <v>42787</v>
      </c>
      <c r="T40" s="18">
        <v>42794</v>
      </c>
      <c r="U40" s="12"/>
      <c r="V40" s="18"/>
      <c r="W40" s="18"/>
      <c r="X40" s="18"/>
      <c r="Y40" s="3">
        <v>1</v>
      </c>
    </row>
    <row r="41" spans="1:32" ht="31.9" customHeight="1">
      <c r="A41" s="11" t="s">
        <v>80</v>
      </c>
      <c r="B41" s="38" t="s">
        <v>81</v>
      </c>
      <c r="C41" s="33" t="s">
        <v>82</v>
      </c>
      <c r="D41" s="27">
        <v>12</v>
      </c>
      <c r="E41" s="27">
        <v>12</v>
      </c>
      <c r="F41" s="12">
        <f t="shared" si="10"/>
        <v>42637</v>
      </c>
      <c r="G41" s="12">
        <f t="shared" si="10"/>
        <v>42658</v>
      </c>
      <c r="H41" s="12">
        <f t="shared" si="13"/>
        <v>42679</v>
      </c>
      <c r="I41" s="12">
        <f t="shared" si="14"/>
        <v>42700</v>
      </c>
      <c r="J41" s="12">
        <f t="shared" si="14"/>
        <v>42707</v>
      </c>
      <c r="K41" s="12">
        <f t="shared" si="15"/>
        <v>42714</v>
      </c>
      <c r="L41" s="12">
        <f t="shared" si="7"/>
        <v>42735</v>
      </c>
      <c r="M41" s="27">
        <v>27000</v>
      </c>
      <c r="N41" s="12">
        <f t="shared" si="8"/>
        <v>42768</v>
      </c>
      <c r="O41" s="12">
        <f t="shared" si="16"/>
        <v>42773</v>
      </c>
      <c r="P41" s="12">
        <f t="shared" si="16"/>
        <v>42778</v>
      </c>
      <c r="Q41" s="12">
        <f t="shared" si="20"/>
        <v>42783</v>
      </c>
      <c r="R41" s="18">
        <f t="shared" si="21"/>
        <v>42811</v>
      </c>
      <c r="S41" s="18">
        <f t="shared" si="21"/>
        <v>42818</v>
      </c>
      <c r="T41" s="12">
        <v>42825</v>
      </c>
      <c r="U41" s="12"/>
      <c r="V41" s="18"/>
      <c r="W41" s="18"/>
      <c r="X41" s="18"/>
      <c r="Y41" s="3">
        <v>1</v>
      </c>
    </row>
    <row r="42" spans="1:32" ht="31.9" customHeight="1">
      <c r="A42" s="11" t="s">
        <v>83</v>
      </c>
      <c r="B42" s="37" t="s">
        <v>81</v>
      </c>
      <c r="C42" s="33" t="s">
        <v>70</v>
      </c>
      <c r="D42" s="27">
        <v>18</v>
      </c>
      <c r="E42" s="27">
        <v>18</v>
      </c>
      <c r="F42" s="12">
        <f>G42-21</f>
        <v>42622</v>
      </c>
      <c r="G42" s="12">
        <f>H42-21</f>
        <v>42643</v>
      </c>
      <c r="H42" s="12">
        <f>I42-21</f>
        <v>42664</v>
      </c>
      <c r="I42" s="12">
        <f>J42-7</f>
        <v>42685</v>
      </c>
      <c r="J42" s="12">
        <f>K42-7</f>
        <v>42692</v>
      </c>
      <c r="K42" s="12">
        <f>L42-21</f>
        <v>42699</v>
      </c>
      <c r="L42" s="12">
        <f>N42-33</f>
        <v>42720</v>
      </c>
      <c r="M42" s="27">
        <v>34310</v>
      </c>
      <c r="N42" s="12">
        <f>P42-10</f>
        <v>42753</v>
      </c>
      <c r="O42" s="12">
        <f>P42-5</f>
        <v>42758</v>
      </c>
      <c r="P42" s="12">
        <f>Q42-5</f>
        <v>42763</v>
      </c>
      <c r="Q42" s="12">
        <f>R42-28</f>
        <v>42768</v>
      </c>
      <c r="R42" s="12">
        <f>S42-13</f>
        <v>42796</v>
      </c>
      <c r="S42" s="12">
        <v>42809</v>
      </c>
      <c r="T42" s="12"/>
      <c r="U42" s="12"/>
      <c r="V42" s="18"/>
      <c r="W42" s="18"/>
      <c r="X42" s="18"/>
      <c r="Y42" s="3">
        <v>1</v>
      </c>
    </row>
    <row r="43" spans="1:32" ht="31.9" customHeight="1">
      <c r="A43" s="11" t="s">
        <v>84</v>
      </c>
      <c r="B43" s="38" t="s">
        <v>85</v>
      </c>
      <c r="C43" s="33" t="s">
        <v>86</v>
      </c>
      <c r="D43" s="27">
        <v>12</v>
      </c>
      <c r="E43" s="27">
        <v>12</v>
      </c>
      <c r="F43" s="12">
        <f t="shared" si="10"/>
        <v>42667</v>
      </c>
      <c r="G43" s="12">
        <f t="shared" si="10"/>
        <v>42688</v>
      </c>
      <c r="H43" s="12">
        <f t="shared" si="13"/>
        <v>42709</v>
      </c>
      <c r="I43" s="12">
        <f t="shared" si="14"/>
        <v>42730</v>
      </c>
      <c r="J43" s="12">
        <f t="shared" si="14"/>
        <v>42737</v>
      </c>
      <c r="K43" s="12">
        <f t="shared" si="15"/>
        <v>42744</v>
      </c>
      <c r="L43" s="12">
        <f t="shared" si="7"/>
        <v>42765</v>
      </c>
      <c r="M43" s="27">
        <v>23000</v>
      </c>
      <c r="N43" s="12">
        <f t="shared" si="8"/>
        <v>42798</v>
      </c>
      <c r="O43" s="12">
        <f t="shared" si="16"/>
        <v>42803</v>
      </c>
      <c r="P43" s="12">
        <f t="shared" si="16"/>
        <v>42808</v>
      </c>
      <c r="Q43" s="12">
        <f t="shared" si="20"/>
        <v>42813</v>
      </c>
      <c r="R43" s="18">
        <f t="shared" si="21"/>
        <v>42841</v>
      </c>
      <c r="S43" s="18">
        <f t="shared" si="21"/>
        <v>42848</v>
      </c>
      <c r="T43" s="12">
        <v>42855</v>
      </c>
      <c r="U43" s="12"/>
      <c r="V43" s="18"/>
      <c r="W43" s="18"/>
      <c r="X43" s="18"/>
      <c r="Y43" s="3">
        <v>1</v>
      </c>
    </row>
    <row r="44" spans="1:32" ht="31.9" customHeight="1">
      <c r="A44" s="11" t="s">
        <v>87</v>
      </c>
      <c r="B44" s="38" t="s">
        <v>85</v>
      </c>
      <c r="C44" s="33" t="s">
        <v>88</v>
      </c>
      <c r="D44" s="27">
        <v>12</v>
      </c>
      <c r="E44" s="27">
        <v>12</v>
      </c>
      <c r="F44" s="12">
        <f t="shared" si="10"/>
        <v>42682</v>
      </c>
      <c r="G44" s="12">
        <f t="shared" si="10"/>
        <v>42703</v>
      </c>
      <c r="H44" s="12">
        <f t="shared" si="13"/>
        <v>42724</v>
      </c>
      <c r="I44" s="12">
        <f t="shared" si="14"/>
        <v>42745</v>
      </c>
      <c r="J44" s="12">
        <f t="shared" si="14"/>
        <v>42752</v>
      </c>
      <c r="K44" s="12">
        <f t="shared" si="15"/>
        <v>42759</v>
      </c>
      <c r="L44" s="12">
        <f t="shared" si="7"/>
        <v>42780</v>
      </c>
      <c r="M44" s="27">
        <v>22000</v>
      </c>
      <c r="N44" s="12">
        <f t="shared" si="8"/>
        <v>42813</v>
      </c>
      <c r="O44" s="12">
        <f t="shared" si="16"/>
        <v>42818</v>
      </c>
      <c r="P44" s="12">
        <f t="shared" si="16"/>
        <v>42823</v>
      </c>
      <c r="Q44" s="12">
        <f t="shared" si="20"/>
        <v>42828</v>
      </c>
      <c r="R44" s="18">
        <f t="shared" si="21"/>
        <v>42856</v>
      </c>
      <c r="S44" s="18">
        <f t="shared" si="21"/>
        <v>42863</v>
      </c>
      <c r="T44" s="12">
        <v>42870</v>
      </c>
      <c r="U44" s="12"/>
      <c r="V44" s="18"/>
      <c r="W44" s="18"/>
      <c r="X44" s="18"/>
      <c r="Y44" s="3">
        <v>1</v>
      </c>
    </row>
    <row r="45" spans="1:32" ht="31.9" customHeight="1">
      <c r="A45" s="11" t="s">
        <v>89</v>
      </c>
      <c r="B45" s="38" t="s">
        <v>85</v>
      </c>
      <c r="C45" s="33" t="s">
        <v>70</v>
      </c>
      <c r="D45" s="27">
        <v>26</v>
      </c>
      <c r="E45" s="27">
        <v>26</v>
      </c>
      <c r="F45" s="12">
        <f t="shared" ref="F45:H47" si="22">G45-21</f>
        <v>42696</v>
      </c>
      <c r="G45" s="12">
        <f t="shared" si="22"/>
        <v>42717</v>
      </c>
      <c r="H45" s="12">
        <f t="shared" si="22"/>
        <v>42738</v>
      </c>
      <c r="I45" s="12">
        <f t="shared" ref="I45:J48" si="23">J45-7</f>
        <v>42759</v>
      </c>
      <c r="J45" s="12">
        <f t="shared" si="23"/>
        <v>42766</v>
      </c>
      <c r="K45" s="12">
        <f>L45-21</f>
        <v>42773</v>
      </c>
      <c r="L45" s="12">
        <f>N45-33</f>
        <v>42794</v>
      </c>
      <c r="M45" s="27">
        <v>46400</v>
      </c>
      <c r="N45" s="12">
        <f>P45-10</f>
        <v>42827</v>
      </c>
      <c r="O45" s="12">
        <f t="shared" ref="O45:P48" si="24">P45-5</f>
        <v>42832</v>
      </c>
      <c r="P45" s="12">
        <f t="shared" si="24"/>
        <v>42837</v>
      </c>
      <c r="Q45" s="12">
        <f>R45-28</f>
        <v>42842</v>
      </c>
      <c r="R45" s="12">
        <v>42870</v>
      </c>
      <c r="S45" s="12"/>
      <c r="T45" s="12"/>
      <c r="U45" s="12"/>
      <c r="V45" s="18"/>
      <c r="W45" s="18"/>
      <c r="X45" s="18"/>
      <c r="Y45" s="3">
        <v>1</v>
      </c>
    </row>
    <row r="46" spans="1:32" ht="31.9" customHeight="1">
      <c r="A46" s="11" t="s">
        <v>90</v>
      </c>
      <c r="B46" s="38" t="s">
        <v>85</v>
      </c>
      <c r="C46" s="33" t="s">
        <v>91</v>
      </c>
      <c r="D46" s="27">
        <v>11</v>
      </c>
      <c r="E46" s="27">
        <v>4</v>
      </c>
      <c r="F46" s="12">
        <f t="shared" si="22"/>
        <v>42697</v>
      </c>
      <c r="G46" s="12">
        <f t="shared" si="22"/>
        <v>42718</v>
      </c>
      <c r="H46" s="12">
        <f t="shared" si="22"/>
        <v>42739</v>
      </c>
      <c r="I46" s="12">
        <f t="shared" si="23"/>
        <v>42760</v>
      </c>
      <c r="J46" s="12">
        <f t="shared" si="23"/>
        <v>42767</v>
      </c>
      <c r="K46" s="12">
        <f>L46-21</f>
        <v>42774</v>
      </c>
      <c r="L46" s="12">
        <f>N46-33</f>
        <v>42795</v>
      </c>
      <c r="M46" s="27">
        <v>30980</v>
      </c>
      <c r="N46" s="12">
        <f>P46-10</f>
        <v>42828</v>
      </c>
      <c r="O46" s="12">
        <f t="shared" si="24"/>
        <v>42833</v>
      </c>
      <c r="P46" s="12">
        <f t="shared" si="24"/>
        <v>42838</v>
      </c>
      <c r="Q46" s="12">
        <f>R46-28</f>
        <v>42843</v>
      </c>
      <c r="R46" s="12">
        <v>42871</v>
      </c>
      <c r="S46" s="18"/>
      <c r="T46" s="12"/>
      <c r="U46" s="12"/>
      <c r="V46" s="18"/>
      <c r="W46" s="18"/>
      <c r="X46" s="18"/>
      <c r="Y46" s="3">
        <v>1</v>
      </c>
    </row>
    <row r="47" spans="1:32" ht="31.9" customHeight="1">
      <c r="A47" s="11" t="s">
        <v>92</v>
      </c>
      <c r="B47" s="38" t="s">
        <v>85</v>
      </c>
      <c r="C47" s="33" t="s">
        <v>93</v>
      </c>
      <c r="D47" s="27">
        <v>8</v>
      </c>
      <c r="E47" s="27">
        <v>4</v>
      </c>
      <c r="F47" s="12">
        <f t="shared" si="22"/>
        <v>42698</v>
      </c>
      <c r="G47" s="12">
        <f t="shared" si="22"/>
        <v>42719</v>
      </c>
      <c r="H47" s="12">
        <f t="shared" si="22"/>
        <v>42740</v>
      </c>
      <c r="I47" s="12">
        <f t="shared" si="23"/>
        <v>42761</v>
      </c>
      <c r="J47" s="12">
        <f t="shared" si="23"/>
        <v>42768</v>
      </c>
      <c r="K47" s="12">
        <f>L47-21</f>
        <v>42775</v>
      </c>
      <c r="L47" s="12">
        <f>N47-33</f>
        <v>42796</v>
      </c>
      <c r="M47" s="27">
        <v>23600</v>
      </c>
      <c r="N47" s="12">
        <f>P47-10</f>
        <v>42829</v>
      </c>
      <c r="O47" s="12">
        <f t="shared" si="24"/>
        <v>42834</v>
      </c>
      <c r="P47" s="12">
        <f t="shared" si="24"/>
        <v>42839</v>
      </c>
      <c r="Q47" s="12">
        <f>R47-28</f>
        <v>42844</v>
      </c>
      <c r="R47" s="12">
        <v>42872</v>
      </c>
      <c r="S47" s="18"/>
      <c r="T47" s="12"/>
      <c r="U47" s="12"/>
      <c r="V47" s="18"/>
      <c r="W47" s="18"/>
      <c r="X47" s="18"/>
      <c r="Y47" s="3">
        <v>1</v>
      </c>
    </row>
    <row r="48" spans="1:32" ht="31.9" customHeight="1">
      <c r="A48" s="11" t="s">
        <v>94</v>
      </c>
      <c r="B48" s="38" t="s">
        <v>95</v>
      </c>
      <c r="C48" s="33" t="s">
        <v>96</v>
      </c>
      <c r="D48" s="27">
        <v>8</v>
      </c>
      <c r="E48" s="27">
        <v>4</v>
      </c>
      <c r="F48" s="12"/>
      <c r="G48" s="12"/>
      <c r="H48" s="12">
        <f>I48-21</f>
        <v>42748</v>
      </c>
      <c r="I48" s="12">
        <f t="shared" si="23"/>
        <v>42769</v>
      </c>
      <c r="J48" s="12">
        <f t="shared" si="23"/>
        <v>42776</v>
      </c>
      <c r="K48" s="12">
        <f>L48-21</f>
        <v>42783</v>
      </c>
      <c r="L48" s="12">
        <f>N48-33</f>
        <v>42804</v>
      </c>
      <c r="M48" s="27"/>
      <c r="N48" s="12">
        <f>P48-10</f>
        <v>42837</v>
      </c>
      <c r="O48" s="12">
        <f t="shared" si="24"/>
        <v>42842</v>
      </c>
      <c r="P48" s="12">
        <f t="shared" si="24"/>
        <v>42847</v>
      </c>
      <c r="Q48" s="12">
        <f>R48-28</f>
        <v>42852</v>
      </c>
      <c r="R48" s="12">
        <v>42880</v>
      </c>
      <c r="S48" s="18"/>
      <c r="T48" s="12"/>
      <c r="U48" s="12"/>
      <c r="V48" s="18"/>
      <c r="W48" s="18"/>
      <c r="X48" s="18"/>
      <c r="Y48" s="3">
        <v>1</v>
      </c>
    </row>
    <row r="49" spans="1:25" ht="31.9" customHeight="1">
      <c r="A49" s="11" t="s">
        <v>97</v>
      </c>
      <c r="B49" s="38" t="s">
        <v>98</v>
      </c>
      <c r="C49" s="32" t="s">
        <v>99</v>
      </c>
      <c r="D49" s="27">
        <v>8</v>
      </c>
      <c r="E49" s="27">
        <v>4</v>
      </c>
      <c r="F49" s="12">
        <f t="shared" si="10"/>
        <v>42727</v>
      </c>
      <c r="G49" s="12">
        <f t="shared" si="10"/>
        <v>42748</v>
      </c>
      <c r="H49" s="12">
        <f t="shared" si="13"/>
        <v>42769</v>
      </c>
      <c r="I49" s="12">
        <f t="shared" si="14"/>
        <v>42790</v>
      </c>
      <c r="J49" s="12">
        <f t="shared" si="14"/>
        <v>42797</v>
      </c>
      <c r="K49" s="12">
        <f t="shared" si="15"/>
        <v>42804</v>
      </c>
      <c r="L49" s="12">
        <f t="shared" si="7"/>
        <v>42825</v>
      </c>
      <c r="M49" s="27"/>
      <c r="N49" s="12">
        <f t="shared" si="8"/>
        <v>42858</v>
      </c>
      <c r="O49" s="12">
        <f t="shared" si="16"/>
        <v>42863</v>
      </c>
      <c r="P49" s="12">
        <f t="shared" si="16"/>
        <v>42868</v>
      </c>
      <c r="Q49" s="12">
        <f t="shared" si="20"/>
        <v>42873</v>
      </c>
      <c r="R49" s="18">
        <v>42901</v>
      </c>
      <c r="S49" s="18"/>
      <c r="T49" s="12"/>
      <c r="U49" s="12"/>
      <c r="V49" s="18"/>
      <c r="W49" s="18"/>
      <c r="X49" s="18"/>
      <c r="Y49" s="3">
        <v>1</v>
      </c>
    </row>
    <row r="50" spans="1:25" ht="31.9" customHeight="1">
      <c r="A50" s="11" t="s">
        <v>100</v>
      </c>
      <c r="B50" s="38" t="s">
        <v>98</v>
      </c>
      <c r="C50" s="32" t="s">
        <v>101</v>
      </c>
      <c r="D50" s="27">
        <v>8</v>
      </c>
      <c r="E50" s="27">
        <v>4</v>
      </c>
      <c r="F50" s="12">
        <f>G50-21</f>
        <v>42728</v>
      </c>
      <c r="G50" s="12">
        <f>H50-21</f>
        <v>42749</v>
      </c>
      <c r="H50" s="12">
        <f>I50-21</f>
        <v>42770</v>
      </c>
      <c r="I50" s="12">
        <f>J50-7</f>
        <v>42791</v>
      </c>
      <c r="J50" s="12">
        <f>K50-7</f>
        <v>42798</v>
      </c>
      <c r="K50" s="12">
        <f>L50-21</f>
        <v>42805</v>
      </c>
      <c r="L50" s="12">
        <f>N50-33</f>
        <v>42826</v>
      </c>
      <c r="M50" s="27"/>
      <c r="N50" s="12">
        <f>P50-10</f>
        <v>42859</v>
      </c>
      <c r="O50" s="12">
        <f>P50-5</f>
        <v>42864</v>
      </c>
      <c r="P50" s="12">
        <f>Q50-5</f>
        <v>42869</v>
      </c>
      <c r="Q50" s="12">
        <f>R50-28</f>
        <v>42874</v>
      </c>
      <c r="R50" s="18">
        <v>42902</v>
      </c>
      <c r="S50" s="18"/>
      <c r="T50" s="12"/>
      <c r="U50" s="12"/>
      <c r="V50" s="18"/>
      <c r="W50" s="18"/>
      <c r="X50" s="18"/>
      <c r="Y50" s="3">
        <v>0</v>
      </c>
    </row>
    <row r="51" spans="1:25" ht="31.9" customHeight="1">
      <c r="A51" s="11" t="s">
        <v>102</v>
      </c>
      <c r="B51" s="38" t="s">
        <v>103</v>
      </c>
      <c r="C51" s="52" t="s">
        <v>104</v>
      </c>
      <c r="D51" s="27">
        <v>8</v>
      </c>
      <c r="E51" s="27">
        <v>4</v>
      </c>
      <c r="F51" s="12">
        <f t="shared" si="10"/>
        <v>42759</v>
      </c>
      <c r="G51" s="12">
        <f t="shared" si="10"/>
        <v>42780</v>
      </c>
      <c r="H51" s="12">
        <f t="shared" si="13"/>
        <v>42801</v>
      </c>
      <c r="I51" s="12">
        <f t="shared" si="14"/>
        <v>42822</v>
      </c>
      <c r="J51" s="12">
        <f t="shared" si="14"/>
        <v>42829</v>
      </c>
      <c r="K51" s="12">
        <f t="shared" si="15"/>
        <v>42836</v>
      </c>
      <c r="L51" s="12">
        <f t="shared" si="7"/>
        <v>42857</v>
      </c>
      <c r="M51" s="27"/>
      <c r="N51" s="12">
        <f t="shared" si="8"/>
        <v>42890</v>
      </c>
      <c r="O51" s="12">
        <f t="shared" si="16"/>
        <v>42895</v>
      </c>
      <c r="P51" s="12">
        <f t="shared" si="16"/>
        <v>42900</v>
      </c>
      <c r="Q51" s="12">
        <f t="shared" si="20"/>
        <v>42905</v>
      </c>
      <c r="R51" s="18">
        <v>42933</v>
      </c>
      <c r="S51" s="18"/>
      <c r="T51" s="12"/>
      <c r="U51" s="12"/>
      <c r="V51" s="18"/>
      <c r="W51" s="18"/>
      <c r="X51" s="18"/>
      <c r="Y51" s="3">
        <v>0</v>
      </c>
    </row>
    <row r="52" spans="1:25" ht="31.9" customHeight="1">
      <c r="A52" s="11" t="s">
        <v>105</v>
      </c>
      <c r="B52" s="38" t="s">
        <v>106</v>
      </c>
      <c r="C52" s="53"/>
      <c r="D52" s="27"/>
      <c r="E52" s="27"/>
      <c r="F52" s="12">
        <v>42795</v>
      </c>
      <c r="G52" s="12">
        <f>F52+14</f>
        <v>42809</v>
      </c>
      <c r="H52" s="12">
        <f>G52+3</f>
        <v>42812</v>
      </c>
      <c r="I52" s="12">
        <f t="shared" ref="I52:J54" si="25">H52+10</f>
        <v>42822</v>
      </c>
      <c r="J52" s="12">
        <f t="shared" si="25"/>
        <v>42832</v>
      </c>
      <c r="K52" s="12">
        <f>J52+7</f>
        <v>42839</v>
      </c>
      <c r="L52" s="12">
        <f>K52+21</f>
        <v>42860</v>
      </c>
      <c r="M52" s="27"/>
      <c r="N52" s="12">
        <f>L52+33</f>
        <v>42893</v>
      </c>
      <c r="O52" s="12">
        <f t="shared" ref="O52:Q54" si="26">N52+5</f>
        <v>42898</v>
      </c>
      <c r="P52" s="12">
        <f t="shared" si="26"/>
        <v>42903</v>
      </c>
      <c r="Q52" s="12">
        <f t="shared" si="26"/>
        <v>42908</v>
      </c>
      <c r="R52" s="18">
        <v>42965</v>
      </c>
      <c r="S52" s="12"/>
      <c r="T52" s="12"/>
      <c r="U52" s="12"/>
      <c r="V52" s="18"/>
      <c r="W52" s="18"/>
      <c r="X52" s="18"/>
      <c r="Y52" s="3">
        <v>0</v>
      </c>
    </row>
    <row r="53" spans="1:25" ht="31.9" customHeight="1">
      <c r="A53" s="11" t="s">
        <v>107</v>
      </c>
      <c r="B53" s="38" t="s">
        <v>108</v>
      </c>
      <c r="C53" s="53"/>
      <c r="D53" s="27"/>
      <c r="E53" s="27"/>
      <c r="F53" s="12">
        <v>42795</v>
      </c>
      <c r="G53" s="12">
        <f>F53+14</f>
        <v>42809</v>
      </c>
      <c r="H53" s="12">
        <f>G53+3</f>
        <v>42812</v>
      </c>
      <c r="I53" s="12">
        <f t="shared" si="25"/>
        <v>42822</v>
      </c>
      <c r="J53" s="12">
        <f t="shared" si="25"/>
        <v>42832</v>
      </c>
      <c r="K53" s="12">
        <f>J53+7</f>
        <v>42839</v>
      </c>
      <c r="L53" s="12">
        <f>K53+21</f>
        <v>42860</v>
      </c>
      <c r="M53" s="27"/>
      <c r="N53" s="12">
        <f>L53+33</f>
        <v>42893</v>
      </c>
      <c r="O53" s="12">
        <f t="shared" si="26"/>
        <v>42898</v>
      </c>
      <c r="P53" s="12">
        <f t="shared" si="26"/>
        <v>42903</v>
      </c>
      <c r="Q53" s="12">
        <f t="shared" si="26"/>
        <v>42908</v>
      </c>
      <c r="R53" s="18">
        <v>42997</v>
      </c>
      <c r="S53" s="12"/>
      <c r="T53" s="12"/>
      <c r="U53" s="12"/>
      <c r="V53" s="18"/>
      <c r="W53" s="18"/>
      <c r="X53" s="18"/>
      <c r="Y53" s="3">
        <v>0</v>
      </c>
    </row>
    <row r="54" spans="1:25" ht="31.9" customHeight="1">
      <c r="A54" s="11" t="s">
        <v>109</v>
      </c>
      <c r="B54" s="38" t="s">
        <v>110</v>
      </c>
      <c r="C54" s="53"/>
      <c r="D54" s="27"/>
      <c r="E54" s="27"/>
      <c r="F54" s="12">
        <v>42795</v>
      </c>
      <c r="G54" s="12">
        <f>F54+14</f>
        <v>42809</v>
      </c>
      <c r="H54" s="12">
        <f>G54+3</f>
        <v>42812</v>
      </c>
      <c r="I54" s="12">
        <f t="shared" si="25"/>
        <v>42822</v>
      </c>
      <c r="J54" s="12">
        <f t="shared" si="25"/>
        <v>42832</v>
      </c>
      <c r="K54" s="12">
        <f>J54+7</f>
        <v>42839</v>
      </c>
      <c r="L54" s="12">
        <f>K54+21</f>
        <v>42860</v>
      </c>
      <c r="M54" s="27"/>
      <c r="N54" s="12">
        <f>L54+33</f>
        <v>42893</v>
      </c>
      <c r="O54" s="12">
        <f t="shared" si="26"/>
        <v>42898</v>
      </c>
      <c r="P54" s="12">
        <f t="shared" si="26"/>
        <v>42903</v>
      </c>
      <c r="Q54" s="12">
        <f t="shared" si="26"/>
        <v>42908</v>
      </c>
      <c r="R54" s="18">
        <v>43028</v>
      </c>
      <c r="S54" s="12"/>
      <c r="T54" s="12"/>
      <c r="U54" s="12"/>
      <c r="V54" s="18"/>
      <c r="W54" s="18"/>
      <c r="X54" s="18"/>
      <c r="Y54" s="3">
        <v>0</v>
      </c>
    </row>
    <row r="55" spans="1:25" ht="31.9" customHeight="1">
      <c r="A55" s="27"/>
      <c r="B55" s="27"/>
      <c r="C55" s="54" t="s">
        <v>111</v>
      </c>
      <c r="D55" s="27"/>
      <c r="E55" s="27"/>
      <c r="F55" s="12"/>
      <c r="G55" s="12"/>
      <c r="H55" s="12"/>
      <c r="I55" s="12"/>
      <c r="J55" s="12"/>
      <c r="K55" s="12"/>
      <c r="L55" s="12"/>
      <c r="M55" s="27"/>
      <c r="N55" s="12"/>
      <c r="O55" s="12"/>
      <c r="P55" s="12"/>
      <c r="Q55" s="12"/>
      <c r="R55" s="12"/>
      <c r="S55" s="12"/>
      <c r="T55" s="12"/>
      <c r="U55" s="12"/>
      <c r="V55" s="12"/>
      <c r="W55" s="18"/>
      <c r="X55" s="18"/>
      <c r="Y55" s="3"/>
    </row>
    <row r="56" spans="1:25" ht="15.75">
      <c r="A56" s="19"/>
      <c r="B56" s="40"/>
      <c r="C56" s="20"/>
      <c r="D56" s="28"/>
      <c r="E56" s="28"/>
      <c r="F56" s="20"/>
      <c r="G56" s="20"/>
      <c r="H56" s="20"/>
      <c r="I56" s="20"/>
      <c r="J56" s="20"/>
      <c r="K56" s="20"/>
      <c r="L56" s="20"/>
      <c r="M56" s="28"/>
      <c r="N56" s="20"/>
      <c r="O56" s="20"/>
      <c r="P56" s="20"/>
      <c r="Q56" s="20"/>
      <c r="R56" s="20"/>
      <c r="S56" s="20"/>
      <c r="T56" s="20"/>
      <c r="U56" s="20"/>
    </row>
    <row r="57" spans="1:25" ht="18">
      <c r="A57" s="21" t="s">
        <v>112</v>
      </c>
      <c r="B57" s="41"/>
      <c r="C57" s="21"/>
      <c r="D57" s="29"/>
      <c r="E57" s="29"/>
      <c r="F57" s="21"/>
      <c r="G57" s="21"/>
      <c r="H57" s="21"/>
      <c r="I57" s="21"/>
      <c r="J57" s="21"/>
      <c r="K57" s="21"/>
      <c r="L57" s="21"/>
      <c r="M57" s="29"/>
      <c r="N57" s="21"/>
      <c r="O57" s="21"/>
      <c r="P57" s="21"/>
      <c r="Q57" s="21"/>
      <c r="R57" s="21"/>
      <c r="S57" s="22"/>
      <c r="T57" s="22"/>
      <c r="U57" s="22"/>
    </row>
    <row r="58" spans="1:25" ht="15.75">
      <c r="A58" s="19"/>
      <c r="B58" s="40"/>
      <c r="C58" s="20"/>
      <c r="D58" s="28"/>
      <c r="E58" s="28"/>
      <c r="F58" s="20"/>
      <c r="G58" s="20"/>
      <c r="H58" s="20"/>
      <c r="I58" s="20"/>
      <c r="J58" s="20"/>
      <c r="K58" s="20"/>
      <c r="L58" s="20"/>
      <c r="M58" s="28"/>
      <c r="N58" s="20"/>
      <c r="O58" s="20"/>
      <c r="P58" s="20"/>
      <c r="Q58" s="20"/>
      <c r="R58" s="20"/>
      <c r="S58" s="20"/>
      <c r="T58" s="20"/>
      <c r="U58" s="20"/>
    </row>
    <row r="59" spans="1:25" ht="15.75">
      <c r="A59" s="19"/>
      <c r="B59" s="40"/>
      <c r="C59" s="20"/>
      <c r="D59" s="28"/>
      <c r="E59" s="28"/>
      <c r="F59" s="20"/>
      <c r="G59" s="20"/>
      <c r="H59" s="20"/>
      <c r="I59" s="20"/>
      <c r="J59" s="20"/>
      <c r="K59" s="20"/>
      <c r="L59" s="20"/>
      <c r="M59" s="28"/>
      <c r="N59" s="20"/>
      <c r="O59" s="20"/>
      <c r="P59" s="20"/>
      <c r="Q59" s="20"/>
      <c r="R59" s="20"/>
      <c r="S59" s="20"/>
      <c r="T59" s="20"/>
      <c r="U59" s="20"/>
    </row>
    <row r="60" spans="1:25" ht="15.75">
      <c r="A60" s="19"/>
      <c r="B60" s="40"/>
      <c r="C60" s="20"/>
      <c r="D60" s="28"/>
      <c r="E60" s="28"/>
      <c r="F60" s="20"/>
      <c r="G60" s="20"/>
      <c r="H60" s="20"/>
      <c r="I60" s="20"/>
      <c r="J60" s="20"/>
      <c r="K60" s="20"/>
      <c r="L60" s="20"/>
      <c r="M60" s="28"/>
      <c r="N60" s="20"/>
      <c r="O60" s="20"/>
      <c r="P60" s="20"/>
      <c r="Q60" s="20"/>
      <c r="R60" s="20"/>
      <c r="S60" s="20"/>
      <c r="T60" s="20"/>
      <c r="U60" s="20"/>
    </row>
    <row r="61" spans="1:25" ht="15.75">
      <c r="A61" s="19"/>
      <c r="B61" s="40"/>
      <c r="C61" s="20"/>
      <c r="D61" s="28"/>
      <c r="E61" s="28"/>
      <c r="F61" s="20"/>
      <c r="G61" s="20"/>
      <c r="H61" s="20"/>
      <c r="I61" s="20"/>
      <c r="J61" s="20"/>
      <c r="K61" s="20"/>
      <c r="L61" s="20"/>
      <c r="M61" s="28"/>
      <c r="N61" s="20"/>
      <c r="O61" s="20"/>
      <c r="P61" s="20"/>
      <c r="Q61" s="20"/>
      <c r="R61" s="20"/>
      <c r="S61" s="20"/>
      <c r="T61" s="20"/>
      <c r="U61" s="20"/>
    </row>
    <row r="62" spans="1:25" ht="15.75">
      <c r="A62" s="19"/>
      <c r="B62" s="40"/>
      <c r="C62" s="20"/>
      <c r="D62" s="28"/>
      <c r="E62" s="28"/>
      <c r="F62" s="20"/>
      <c r="G62" s="20"/>
      <c r="H62" s="20"/>
      <c r="I62" s="20"/>
      <c r="J62" s="20"/>
      <c r="K62" s="20"/>
      <c r="L62" s="20"/>
      <c r="M62" s="28"/>
      <c r="N62" s="20"/>
      <c r="O62" s="20"/>
      <c r="P62" s="20"/>
      <c r="Q62" s="20"/>
      <c r="R62" s="20"/>
      <c r="S62" s="20"/>
      <c r="T62" s="20"/>
      <c r="U62" s="20"/>
    </row>
    <row r="63" spans="1:25" ht="15.75">
      <c r="A63" s="19"/>
      <c r="B63" s="40"/>
      <c r="C63" s="20"/>
      <c r="D63" s="28"/>
      <c r="E63" s="28"/>
      <c r="F63" s="20"/>
      <c r="G63" s="20"/>
      <c r="H63" s="20"/>
      <c r="I63" s="20"/>
      <c r="J63" s="20"/>
      <c r="K63" s="20"/>
      <c r="L63" s="20"/>
      <c r="M63" s="28"/>
      <c r="N63" s="20"/>
      <c r="O63" s="20"/>
      <c r="P63" s="20"/>
      <c r="Q63" s="20"/>
      <c r="R63" s="20"/>
      <c r="S63" s="20"/>
      <c r="T63" s="20"/>
      <c r="U63" s="20"/>
    </row>
    <row r="64" spans="1:25" ht="15.75">
      <c r="A64" s="19"/>
      <c r="B64" s="40"/>
      <c r="C64" s="20"/>
      <c r="D64" s="28"/>
      <c r="E64" s="28"/>
      <c r="F64" s="20"/>
      <c r="G64" s="20"/>
      <c r="H64" s="20"/>
      <c r="I64" s="20"/>
      <c r="J64" s="20"/>
      <c r="K64" s="20"/>
      <c r="L64" s="20"/>
      <c r="M64" s="28"/>
      <c r="N64" s="20"/>
      <c r="O64" s="20"/>
      <c r="P64" s="20"/>
      <c r="Q64" s="20"/>
      <c r="R64" s="20"/>
      <c r="S64" s="20"/>
      <c r="T64" s="20"/>
      <c r="U64" s="20"/>
    </row>
    <row r="65" spans="1:21" ht="15.75">
      <c r="A65" s="19"/>
      <c r="B65" s="40"/>
      <c r="C65" s="20"/>
      <c r="D65" s="28"/>
      <c r="E65" s="28"/>
      <c r="F65" s="20"/>
      <c r="G65" s="20"/>
      <c r="H65" s="20"/>
      <c r="I65" s="20"/>
      <c r="J65" s="20"/>
      <c r="K65" s="20"/>
      <c r="L65" s="20"/>
      <c r="M65" s="28"/>
      <c r="N65" s="20"/>
      <c r="O65" s="20"/>
      <c r="P65" s="20"/>
      <c r="Q65" s="20"/>
      <c r="R65" s="20"/>
      <c r="S65" s="20"/>
      <c r="T65" s="20"/>
      <c r="U65" s="20"/>
    </row>
    <row r="66" spans="1:21" ht="15.75">
      <c r="A66" s="19"/>
      <c r="B66" s="40"/>
      <c r="C66" s="20"/>
      <c r="D66" s="28"/>
      <c r="E66" s="28"/>
      <c r="F66" s="20"/>
      <c r="G66" s="20"/>
      <c r="H66" s="20"/>
      <c r="I66" s="20"/>
      <c r="J66" s="20"/>
      <c r="K66" s="20"/>
      <c r="L66" s="20"/>
      <c r="M66" s="28"/>
      <c r="N66" s="20"/>
      <c r="O66" s="20"/>
      <c r="P66" s="20"/>
      <c r="Q66" s="20"/>
      <c r="R66" s="20"/>
      <c r="S66" s="20"/>
      <c r="T66" s="20"/>
      <c r="U66" s="20"/>
    </row>
    <row r="67" spans="1:21" ht="15.75">
      <c r="A67" s="19"/>
      <c r="B67" s="40"/>
      <c r="C67" s="20"/>
      <c r="D67" s="28"/>
      <c r="E67" s="28"/>
      <c r="F67" s="20"/>
      <c r="G67" s="20"/>
      <c r="H67" s="20"/>
      <c r="I67" s="20"/>
      <c r="J67" s="20"/>
      <c r="K67" s="20"/>
      <c r="L67" s="20"/>
      <c r="M67" s="28"/>
      <c r="N67" s="20"/>
      <c r="O67" s="20"/>
      <c r="P67" s="20"/>
      <c r="Q67" s="20"/>
      <c r="R67" s="20"/>
      <c r="S67" s="20"/>
      <c r="T67" s="20"/>
      <c r="U67" s="20"/>
    </row>
    <row r="68" spans="1:21" ht="15.75">
      <c r="A68" s="19"/>
      <c r="B68" s="40"/>
      <c r="C68" s="20"/>
      <c r="D68" s="28"/>
      <c r="E68" s="28"/>
      <c r="F68" s="20"/>
      <c r="G68" s="20"/>
      <c r="H68" s="20"/>
      <c r="I68" s="20"/>
      <c r="J68" s="20"/>
      <c r="K68" s="20"/>
      <c r="L68" s="20"/>
      <c r="M68" s="28"/>
      <c r="N68" s="20"/>
      <c r="O68" s="20"/>
      <c r="P68" s="20"/>
      <c r="Q68" s="20"/>
      <c r="R68" s="20"/>
      <c r="S68" s="20"/>
      <c r="T68" s="20"/>
      <c r="U68" s="20"/>
    </row>
    <row r="69" spans="1:21" ht="15.75">
      <c r="A69" s="19"/>
      <c r="B69" s="40"/>
      <c r="C69" s="20"/>
      <c r="D69" s="28"/>
      <c r="E69" s="28"/>
      <c r="F69" s="20"/>
      <c r="G69" s="20"/>
      <c r="H69" s="20"/>
      <c r="I69" s="20"/>
      <c r="J69" s="20"/>
      <c r="K69" s="20"/>
      <c r="L69" s="20"/>
      <c r="M69" s="28"/>
      <c r="N69" s="20"/>
      <c r="O69" s="20"/>
      <c r="P69" s="20"/>
      <c r="Q69" s="20"/>
      <c r="R69" s="20"/>
      <c r="S69" s="20"/>
      <c r="T69" s="20"/>
      <c r="U69" s="20"/>
    </row>
    <row r="70" spans="1:21" ht="15.75">
      <c r="A70" s="19"/>
      <c r="B70" s="40"/>
      <c r="C70" s="20"/>
      <c r="D70" s="28"/>
      <c r="E70" s="28"/>
      <c r="F70" s="20"/>
      <c r="G70" s="20"/>
      <c r="H70" s="20"/>
      <c r="I70" s="20"/>
      <c r="J70" s="20"/>
      <c r="K70" s="20"/>
      <c r="L70" s="20"/>
      <c r="M70" s="28"/>
      <c r="N70" s="20"/>
      <c r="O70" s="20"/>
      <c r="P70" s="20"/>
      <c r="Q70" s="20"/>
      <c r="R70" s="20"/>
      <c r="S70" s="20"/>
      <c r="T70" s="20"/>
      <c r="U70" s="20"/>
    </row>
    <row r="71" spans="1:21" ht="15.75">
      <c r="A71" s="19"/>
      <c r="B71" s="40"/>
      <c r="C71" s="20"/>
      <c r="D71" s="28"/>
      <c r="E71" s="28"/>
      <c r="F71" s="20"/>
      <c r="G71" s="20"/>
      <c r="H71" s="20"/>
      <c r="I71" s="20"/>
      <c r="J71" s="20"/>
      <c r="K71" s="20"/>
      <c r="L71" s="20"/>
      <c r="M71" s="28"/>
      <c r="N71" s="20"/>
      <c r="O71" s="20"/>
      <c r="P71" s="20"/>
      <c r="Q71" s="20"/>
      <c r="R71" s="20"/>
      <c r="S71" s="20"/>
      <c r="T71" s="20"/>
      <c r="U71" s="20"/>
    </row>
    <row r="72" spans="1:21" ht="15.75">
      <c r="A72" s="19"/>
      <c r="B72" s="40"/>
      <c r="C72" s="20"/>
      <c r="D72" s="28"/>
      <c r="E72" s="28"/>
      <c r="F72" s="20"/>
      <c r="G72" s="20"/>
      <c r="H72" s="20"/>
      <c r="I72" s="20"/>
      <c r="J72" s="20"/>
      <c r="K72" s="20"/>
      <c r="L72" s="20"/>
      <c r="M72" s="28"/>
      <c r="N72" s="20"/>
      <c r="O72" s="20"/>
      <c r="P72" s="20"/>
      <c r="Q72" s="20"/>
      <c r="R72" s="20"/>
      <c r="S72" s="20"/>
      <c r="T72" s="20"/>
      <c r="U72" s="20"/>
    </row>
    <row r="73" spans="1:21" ht="15.75">
      <c r="A73" s="19"/>
      <c r="B73" s="40"/>
      <c r="C73" s="20"/>
      <c r="D73" s="28"/>
      <c r="E73" s="28"/>
      <c r="F73" s="20"/>
      <c r="G73" s="20"/>
      <c r="H73" s="20"/>
      <c r="I73" s="20"/>
      <c r="J73" s="20"/>
      <c r="K73" s="20"/>
      <c r="L73" s="20"/>
      <c r="M73" s="28"/>
      <c r="N73" s="20"/>
      <c r="O73" s="20"/>
      <c r="P73" s="20"/>
      <c r="Q73" s="20"/>
      <c r="R73" s="20"/>
      <c r="S73" s="20"/>
      <c r="T73" s="20"/>
      <c r="U73" s="20"/>
    </row>
    <row r="74" spans="1:21" ht="15.75">
      <c r="A74" s="19"/>
      <c r="B74" s="40"/>
      <c r="C74" s="20"/>
      <c r="D74" s="28"/>
      <c r="E74" s="28"/>
      <c r="F74" s="20"/>
      <c r="G74" s="20"/>
      <c r="H74" s="20"/>
      <c r="I74" s="20"/>
      <c r="J74" s="20"/>
      <c r="K74" s="20"/>
      <c r="L74" s="20"/>
      <c r="M74" s="28"/>
      <c r="N74" s="20"/>
      <c r="O74" s="20"/>
      <c r="P74" s="20"/>
      <c r="Q74" s="20"/>
      <c r="R74" s="20"/>
      <c r="S74" s="20"/>
      <c r="T74" s="20"/>
      <c r="U74" s="20"/>
    </row>
    <row r="75" spans="1:21" ht="15.75">
      <c r="A75" s="19"/>
      <c r="B75" s="40"/>
      <c r="C75" s="20"/>
      <c r="D75" s="28"/>
      <c r="E75" s="28"/>
      <c r="F75" s="20"/>
      <c r="G75" s="20"/>
      <c r="H75" s="20"/>
      <c r="I75" s="20"/>
      <c r="J75" s="20"/>
      <c r="K75" s="20"/>
      <c r="L75" s="20"/>
      <c r="M75" s="28"/>
      <c r="N75" s="20"/>
      <c r="O75" s="20"/>
      <c r="P75" s="20"/>
      <c r="Q75" s="20"/>
      <c r="R75" s="20"/>
      <c r="S75" s="20"/>
      <c r="T75" s="20"/>
      <c r="U75" s="20"/>
    </row>
    <row r="76" spans="1:21" ht="15.75">
      <c r="A76" s="19"/>
      <c r="B76" s="40"/>
      <c r="C76" s="20"/>
      <c r="D76" s="28"/>
      <c r="E76" s="28"/>
      <c r="F76" s="20"/>
      <c r="G76" s="20"/>
      <c r="H76" s="20"/>
      <c r="I76" s="20"/>
      <c r="J76" s="20"/>
      <c r="K76" s="20"/>
      <c r="L76" s="20"/>
      <c r="M76" s="28"/>
      <c r="N76" s="20"/>
      <c r="O76" s="20"/>
      <c r="P76" s="20"/>
      <c r="Q76" s="20"/>
      <c r="R76" s="20"/>
      <c r="S76" s="20"/>
      <c r="T76" s="20"/>
      <c r="U76" s="20"/>
    </row>
    <row r="77" spans="1:21" ht="15.75">
      <c r="A77" s="19"/>
      <c r="B77" s="40"/>
      <c r="C77" s="20"/>
      <c r="D77" s="28"/>
      <c r="E77" s="28"/>
      <c r="F77" s="20"/>
      <c r="G77" s="20"/>
      <c r="H77" s="20"/>
      <c r="I77" s="20"/>
      <c r="J77" s="20"/>
      <c r="K77" s="20"/>
      <c r="L77" s="20"/>
      <c r="M77" s="28"/>
      <c r="N77" s="20"/>
      <c r="O77" s="20"/>
      <c r="P77" s="20"/>
      <c r="Q77" s="20"/>
      <c r="R77" s="20"/>
      <c r="S77" s="20"/>
      <c r="T77" s="20"/>
      <c r="U77" s="20"/>
    </row>
    <row r="78" spans="1:21" ht="15.75">
      <c r="A78" s="19"/>
      <c r="B78" s="40"/>
      <c r="C78" s="20"/>
      <c r="D78" s="28"/>
      <c r="E78" s="28"/>
      <c r="F78" s="20"/>
      <c r="G78" s="20"/>
      <c r="H78" s="20"/>
      <c r="I78" s="20"/>
      <c r="J78" s="20"/>
      <c r="K78" s="20"/>
      <c r="L78" s="20"/>
      <c r="M78" s="28"/>
      <c r="N78" s="20"/>
      <c r="O78" s="20"/>
      <c r="P78" s="20"/>
      <c r="Q78" s="20"/>
      <c r="R78" s="20"/>
      <c r="S78" s="20"/>
      <c r="T78" s="20"/>
      <c r="U78" s="20"/>
    </row>
    <row r="79" spans="1:21" ht="15.75">
      <c r="A79" s="19"/>
      <c r="B79" s="40"/>
      <c r="C79" s="20"/>
      <c r="D79" s="28"/>
      <c r="E79" s="28"/>
      <c r="F79" s="20"/>
      <c r="G79" s="20"/>
      <c r="H79" s="20"/>
      <c r="I79" s="20"/>
      <c r="J79" s="20"/>
      <c r="K79" s="20"/>
      <c r="L79" s="20"/>
      <c r="M79" s="28"/>
      <c r="N79" s="20"/>
      <c r="O79" s="20"/>
      <c r="P79" s="20"/>
      <c r="Q79" s="20"/>
      <c r="R79" s="20"/>
      <c r="S79" s="20"/>
      <c r="T79" s="20"/>
      <c r="U79" s="20"/>
    </row>
  </sheetData>
  <sheetProtection selectLockedCells="1" selectUnlockedCells="1"/>
  <hyperlinks>
    <hyperlink ref="C51" location="Alibaba40Thieves!A1" display="AliBaba &amp; 40 Thieves" xr:uid="{00000000-0004-0000-0000-000000000000}"/>
    <hyperlink ref="C50" location="GardenOfQueens!A1" display="GARDEN OF THE QUEENS by Jessie H." xr:uid="{00000000-0004-0000-0000-000001000000}"/>
    <hyperlink ref="C49" location="Andalusia!A1" display="ANDALUSIA  by Ramon J.L" xr:uid="{00000000-0004-0000-0000-000002000000}"/>
    <hyperlink ref="C55" location="'Mothers day'!A1" display="Mothers day items" xr:uid="{00000000-0004-0000-0000-000003000000}"/>
  </hyperlinks>
  <pageMargins left="0.74791666666666667" right="0.74791666666666667" top="0.98402777777777772" bottom="0.98402777777777772" header="0.51180555555555551" footer="0.51180555555555551"/>
  <pageSetup paperSize="9" scale="68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zoomScale="90" zoomScaleNormal="90" workbookViewId="0" xr3:uid="{958C4451-9541-5A59-BF78-D2F731DF1C81}">
      <pane ySplit="1" topLeftCell="A2" activePane="bottomLeft" state="frozen"/>
      <selection pane="bottomLeft" activeCell="F2" sqref="F2"/>
    </sheetView>
  </sheetViews>
  <sheetFormatPr defaultRowHeight="15"/>
  <cols>
    <col min="1" max="1" width="12.28515625" style="42" bestFit="1" customWidth="1"/>
    <col min="2" max="2" width="15" style="42" customWidth="1"/>
    <col min="3" max="3" width="14.28515625" style="42" customWidth="1"/>
    <col min="4" max="4" width="10.85546875" style="42" customWidth="1"/>
    <col min="5" max="5" width="8.85546875" style="42" customWidth="1"/>
    <col min="6" max="6" width="15.7109375" style="42" customWidth="1"/>
    <col min="7" max="7" width="11.28515625" style="42" bestFit="1" customWidth="1"/>
    <col min="8" max="8" width="14.140625" style="42" customWidth="1"/>
    <col min="9" max="9" width="10.28515625" style="42" customWidth="1"/>
    <col min="10" max="10" width="11.28515625" style="42" customWidth="1"/>
    <col min="11" max="11" width="6" style="42" customWidth="1"/>
    <col min="12" max="12" width="15.28515625" customWidth="1"/>
    <col min="13" max="13" width="15.85546875" customWidth="1"/>
    <col min="14" max="14" width="13.28515625" customWidth="1"/>
    <col min="16" max="16" width="17.5703125" customWidth="1"/>
    <col min="17" max="17" width="15.28515625" customWidth="1"/>
    <col min="18" max="18" width="18.85546875" customWidth="1"/>
    <col min="19" max="19" width="15.7109375" bestFit="1" customWidth="1"/>
    <col min="20" max="20" width="18.42578125" bestFit="1" customWidth="1"/>
  </cols>
  <sheetData>
    <row r="1" spans="1:20" ht="30" customHeight="1">
      <c r="A1" s="56" t="s">
        <v>113</v>
      </c>
      <c r="B1" s="56" t="s">
        <v>114</v>
      </c>
      <c r="C1" s="56" t="s">
        <v>115</v>
      </c>
      <c r="D1" s="56" t="s">
        <v>116</v>
      </c>
      <c r="E1" s="56" t="s">
        <v>117</v>
      </c>
      <c r="F1" s="56" t="s">
        <v>118</v>
      </c>
      <c r="G1" s="56" t="s">
        <v>119</v>
      </c>
      <c r="H1" s="56" t="s">
        <v>120</v>
      </c>
      <c r="I1" s="56" t="s">
        <v>121</v>
      </c>
      <c r="J1" s="56" t="s">
        <v>122</v>
      </c>
      <c r="K1" s="56" t="s">
        <v>123</v>
      </c>
      <c r="L1" s="56" t="s">
        <v>124</v>
      </c>
      <c r="M1" s="56" t="s">
        <v>125</v>
      </c>
      <c r="N1" s="56" t="s">
        <v>126</v>
      </c>
      <c r="O1" s="56" t="s">
        <v>127</v>
      </c>
      <c r="P1" s="56" t="s">
        <v>128</v>
      </c>
      <c r="Q1" s="56" t="s">
        <v>129</v>
      </c>
      <c r="R1" s="56" t="s">
        <v>130</v>
      </c>
      <c r="S1" s="56" t="s">
        <v>34</v>
      </c>
      <c r="T1" s="56" t="s">
        <v>35</v>
      </c>
    </row>
    <row r="2" spans="1:20" ht="147" customHeight="1">
      <c r="A2" s="44" t="s">
        <v>131</v>
      </c>
      <c r="B2" s="44"/>
      <c r="C2" s="44"/>
      <c r="D2" s="45">
        <v>42793</v>
      </c>
      <c r="E2" s="44" t="s">
        <v>132</v>
      </c>
      <c r="F2" s="44"/>
      <c r="G2" s="44"/>
      <c r="H2" s="44"/>
      <c r="I2" s="44"/>
      <c r="J2" s="44"/>
      <c r="K2" s="44"/>
      <c r="L2" s="46">
        <f>Calendar!K55</f>
        <v>0</v>
      </c>
      <c r="M2" s="47"/>
      <c r="N2" s="47"/>
      <c r="O2" s="47"/>
      <c r="P2" s="47"/>
      <c r="Q2" s="47"/>
      <c r="R2" s="47"/>
      <c r="S2" s="47"/>
      <c r="T2" s="47"/>
    </row>
    <row r="3" spans="1:20" ht="147" customHeight="1">
      <c r="A3" s="44" t="s">
        <v>133</v>
      </c>
      <c r="B3" s="44"/>
      <c r="C3" s="44"/>
      <c r="D3" s="44"/>
      <c r="E3" s="44" t="s">
        <v>132</v>
      </c>
      <c r="F3" s="44"/>
      <c r="G3" s="44"/>
      <c r="H3" s="44"/>
      <c r="I3" s="44"/>
      <c r="J3" s="44"/>
      <c r="K3" s="44"/>
      <c r="L3" s="47"/>
      <c r="M3" s="47"/>
      <c r="N3" s="47"/>
      <c r="O3" s="47"/>
      <c r="P3" s="47"/>
      <c r="Q3" s="47"/>
      <c r="R3" s="47"/>
      <c r="S3" s="47"/>
      <c r="T3" s="47"/>
    </row>
    <row r="4" spans="1:20" ht="147" customHeight="1">
      <c r="A4" s="44" t="s">
        <v>134</v>
      </c>
      <c r="B4" s="44"/>
      <c r="C4" s="44"/>
      <c r="D4" s="44"/>
      <c r="E4" s="44" t="s">
        <v>132</v>
      </c>
      <c r="F4" s="44"/>
      <c r="G4" s="44"/>
      <c r="H4" s="44"/>
      <c r="I4" s="44"/>
      <c r="J4" s="44"/>
      <c r="K4" s="44"/>
      <c r="L4" s="47"/>
      <c r="M4" s="47"/>
      <c r="N4" s="47"/>
      <c r="O4" s="47"/>
      <c r="P4" s="47"/>
      <c r="Q4" s="47"/>
      <c r="R4" s="47"/>
      <c r="S4" s="47"/>
      <c r="T4" s="47"/>
    </row>
    <row r="5" spans="1:20" ht="147" customHeight="1">
      <c r="A5" s="44" t="s">
        <v>135</v>
      </c>
      <c r="B5" s="44"/>
      <c r="C5" s="44"/>
      <c r="D5" s="44"/>
      <c r="E5" s="44" t="s">
        <v>132</v>
      </c>
      <c r="F5" s="44"/>
      <c r="G5" s="44"/>
      <c r="H5" s="44"/>
      <c r="I5" s="44"/>
      <c r="J5" s="44"/>
      <c r="K5" s="44"/>
      <c r="L5" s="47"/>
      <c r="M5" s="47"/>
      <c r="N5" s="47"/>
      <c r="O5" s="47"/>
      <c r="P5" s="47"/>
      <c r="Q5" s="47"/>
      <c r="R5" s="47"/>
      <c r="S5" s="47"/>
      <c r="T5" s="47"/>
    </row>
    <row r="6" spans="1:20" ht="147" customHeight="1">
      <c r="A6" s="44" t="s">
        <v>136</v>
      </c>
      <c r="B6" s="44"/>
      <c r="C6" s="44"/>
      <c r="D6" s="44"/>
      <c r="E6" s="44" t="s">
        <v>132</v>
      </c>
      <c r="F6" s="44"/>
      <c r="G6" s="44"/>
      <c r="H6" s="44"/>
      <c r="I6" s="44"/>
      <c r="J6" s="44"/>
      <c r="K6" s="44"/>
      <c r="L6" s="47"/>
      <c r="M6" s="47"/>
      <c r="N6" s="47"/>
      <c r="O6" s="47"/>
      <c r="P6" s="47"/>
      <c r="Q6" s="47"/>
      <c r="R6" s="47"/>
      <c r="S6" s="47"/>
      <c r="T6" s="47"/>
    </row>
    <row r="7" spans="1:20" ht="147" customHeight="1">
      <c r="A7" s="44" t="s">
        <v>137</v>
      </c>
      <c r="B7" s="44"/>
      <c r="C7" s="44"/>
      <c r="D7" s="44"/>
      <c r="E7" s="44" t="s">
        <v>132</v>
      </c>
      <c r="F7" s="44"/>
      <c r="G7" s="44"/>
      <c r="H7" s="44"/>
      <c r="I7" s="44"/>
      <c r="J7" s="44"/>
      <c r="K7" s="44"/>
      <c r="L7" s="47"/>
      <c r="M7" s="47"/>
      <c r="N7" s="47"/>
      <c r="O7" s="47"/>
      <c r="P7" s="47"/>
      <c r="Q7" s="47"/>
      <c r="R7" s="47"/>
      <c r="S7" s="47"/>
      <c r="T7" s="47"/>
    </row>
    <row r="8" spans="1:20" ht="147" customHeight="1">
      <c r="A8" s="44" t="s">
        <v>138</v>
      </c>
      <c r="B8" s="44"/>
      <c r="C8" s="44"/>
      <c r="D8" s="44"/>
      <c r="E8" s="44" t="s">
        <v>132</v>
      </c>
      <c r="F8" s="44"/>
      <c r="G8" s="44"/>
      <c r="H8" s="44"/>
      <c r="I8" s="44"/>
      <c r="J8" s="44"/>
      <c r="K8" s="44"/>
      <c r="L8" s="47"/>
      <c r="M8" s="47"/>
      <c r="N8" s="47"/>
      <c r="O8" s="47"/>
      <c r="P8" s="47"/>
      <c r="Q8" s="47"/>
      <c r="R8" s="47"/>
      <c r="S8" s="47"/>
      <c r="T8" s="47"/>
    </row>
    <row r="9" spans="1:20" ht="147" customHeight="1">
      <c r="A9" s="44" t="s">
        <v>139</v>
      </c>
      <c r="B9" s="44"/>
      <c r="C9" s="44"/>
      <c r="D9" s="44"/>
      <c r="E9" s="44" t="s">
        <v>132</v>
      </c>
      <c r="F9" s="44"/>
      <c r="G9" s="44"/>
      <c r="H9" s="44"/>
      <c r="I9" s="44"/>
      <c r="J9" s="44"/>
      <c r="K9" s="44"/>
      <c r="L9" s="47"/>
      <c r="M9" s="47"/>
      <c r="N9" s="47"/>
      <c r="O9" s="47"/>
      <c r="P9" s="47"/>
      <c r="Q9" s="47"/>
      <c r="R9" s="47"/>
    </row>
    <row r="10" spans="1:20" ht="96" customHeight="1">
      <c r="A10" s="42" t="s">
        <v>140</v>
      </c>
    </row>
    <row r="11" spans="1:20" ht="96" customHeight="1">
      <c r="A11" s="42" t="s">
        <v>141</v>
      </c>
    </row>
    <row r="12" spans="1:20" ht="96" customHeight="1">
      <c r="A12" s="42" t="s">
        <v>142</v>
      </c>
    </row>
    <row r="13" spans="1:20" ht="96" customHeight="1">
      <c r="A13" s="42" t="s">
        <v>143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3"/>
  <sheetViews>
    <sheetView zoomScale="90" zoomScaleNormal="90" workbookViewId="0" xr3:uid="{842E5F09-E766-5B8D-85AF-A39847EA96FD}">
      <pane ySplit="1" topLeftCell="A2" activePane="bottomLeft" state="frozen"/>
      <selection pane="bottomLeft" activeCell="G2" sqref="G2"/>
    </sheetView>
  </sheetViews>
  <sheetFormatPr defaultRowHeight="15"/>
  <cols>
    <col min="1" max="1" width="12.28515625" style="42" bestFit="1" customWidth="1"/>
    <col min="2" max="2" width="15" style="42" bestFit="1" customWidth="1"/>
    <col min="3" max="3" width="14.28515625" style="42" bestFit="1" customWidth="1"/>
    <col min="4" max="4" width="10.85546875" style="42" bestFit="1" customWidth="1"/>
    <col min="5" max="5" width="8.85546875" style="42" bestFit="1" customWidth="1"/>
    <col min="6" max="6" width="15.7109375" style="42" bestFit="1" customWidth="1"/>
    <col min="7" max="7" width="11.140625" style="42" bestFit="1" customWidth="1"/>
    <col min="8" max="8" width="14.140625" style="42" bestFit="1" customWidth="1"/>
    <col min="9" max="9" width="10.28515625" style="42" bestFit="1" customWidth="1"/>
    <col min="10" max="10" width="11.28515625" style="42" bestFit="1" customWidth="1"/>
    <col min="11" max="11" width="6" style="42" bestFit="1" customWidth="1"/>
    <col min="12" max="12" width="15.28515625" bestFit="1" customWidth="1"/>
    <col min="13" max="13" width="15.85546875" bestFit="1" customWidth="1"/>
    <col min="14" max="14" width="13.28515625" bestFit="1" customWidth="1"/>
    <col min="16" max="16" width="17.5703125" bestFit="1" customWidth="1"/>
    <col min="17" max="17" width="15.28515625" bestFit="1" customWidth="1"/>
    <col min="18" max="18" width="18.85546875" bestFit="1" customWidth="1"/>
    <col min="19" max="19" width="15.7109375" bestFit="1" customWidth="1"/>
    <col min="20" max="20" width="18.42578125" bestFit="1" customWidth="1"/>
  </cols>
  <sheetData>
    <row r="1" spans="1:20" ht="30">
      <c r="A1" s="56" t="s">
        <v>113</v>
      </c>
      <c r="B1" s="56" t="s">
        <v>114</v>
      </c>
      <c r="C1" s="56" t="s">
        <v>115</v>
      </c>
      <c r="D1" s="56" t="s">
        <v>116</v>
      </c>
      <c r="E1" s="56" t="s">
        <v>117</v>
      </c>
      <c r="F1" s="56" t="s">
        <v>118</v>
      </c>
      <c r="G1" s="56" t="s">
        <v>119</v>
      </c>
      <c r="H1" s="56" t="s">
        <v>120</v>
      </c>
      <c r="I1" s="56" t="s">
        <v>121</v>
      </c>
      <c r="J1" s="56" t="s">
        <v>122</v>
      </c>
      <c r="K1" s="56" t="s">
        <v>123</v>
      </c>
      <c r="L1" s="56" t="s">
        <v>124</v>
      </c>
      <c r="M1" s="56" t="s">
        <v>125</v>
      </c>
      <c r="N1" s="56" t="s">
        <v>126</v>
      </c>
      <c r="O1" s="56" t="s">
        <v>127</v>
      </c>
      <c r="P1" s="56" t="s">
        <v>128</v>
      </c>
      <c r="Q1" s="56" t="s">
        <v>129</v>
      </c>
      <c r="R1" s="56" t="s">
        <v>130</v>
      </c>
      <c r="S1" s="56" t="s">
        <v>34</v>
      </c>
      <c r="T1" s="56" t="s">
        <v>35</v>
      </c>
    </row>
    <row r="2" spans="1:20" ht="147" customHeight="1">
      <c r="A2" s="44" t="s">
        <v>131</v>
      </c>
      <c r="B2" s="44"/>
      <c r="C2" s="44"/>
      <c r="D2" s="45">
        <v>42793</v>
      </c>
      <c r="E2" s="44" t="s">
        <v>132</v>
      </c>
      <c r="F2" s="44"/>
      <c r="G2" s="44"/>
      <c r="H2" s="44"/>
      <c r="I2" s="44"/>
      <c r="J2" s="44"/>
      <c r="K2" s="44"/>
      <c r="L2" s="46">
        <f>Calendar!K49</f>
        <v>42804</v>
      </c>
      <c r="M2" s="47"/>
      <c r="N2" s="47"/>
      <c r="O2" s="47"/>
      <c r="P2" s="47"/>
      <c r="Q2" s="47"/>
      <c r="R2" s="47"/>
      <c r="S2" s="47"/>
      <c r="T2" s="47"/>
    </row>
    <row r="3" spans="1:20" ht="147" customHeight="1">
      <c r="A3" s="44" t="s">
        <v>133</v>
      </c>
      <c r="B3" s="44"/>
      <c r="C3" s="44"/>
      <c r="D3" s="44"/>
      <c r="E3" s="44" t="s">
        <v>132</v>
      </c>
      <c r="F3" s="44"/>
      <c r="G3" s="44"/>
      <c r="H3" s="44"/>
      <c r="I3" s="44"/>
      <c r="J3" s="44"/>
      <c r="K3" s="44"/>
      <c r="L3" s="47"/>
      <c r="M3" s="47"/>
      <c r="N3" s="47"/>
      <c r="O3" s="47"/>
      <c r="P3" s="47"/>
      <c r="Q3" s="47"/>
      <c r="R3" s="47"/>
      <c r="S3" s="47"/>
      <c r="T3" s="47"/>
    </row>
    <row r="4" spans="1:20" ht="147" customHeight="1">
      <c r="A4" s="44" t="s">
        <v>134</v>
      </c>
      <c r="B4" s="44"/>
      <c r="C4" s="44"/>
      <c r="D4" s="44"/>
      <c r="E4" s="44" t="s">
        <v>132</v>
      </c>
      <c r="F4" s="44"/>
      <c r="G4" s="44"/>
      <c r="H4" s="44"/>
      <c r="I4" s="44"/>
      <c r="J4" s="44"/>
      <c r="K4" s="44"/>
      <c r="L4" s="47"/>
      <c r="M4" s="47"/>
      <c r="N4" s="47"/>
      <c r="O4" s="47"/>
      <c r="P4" s="47"/>
      <c r="Q4" s="47"/>
      <c r="R4" s="47"/>
      <c r="S4" s="47"/>
      <c r="T4" s="47"/>
    </row>
    <row r="5" spans="1:20" ht="147" customHeight="1">
      <c r="A5" s="44" t="s">
        <v>135</v>
      </c>
      <c r="B5" s="44"/>
      <c r="C5" s="44"/>
      <c r="D5" s="44"/>
      <c r="E5" s="44" t="s">
        <v>132</v>
      </c>
      <c r="F5" s="44"/>
      <c r="G5" s="44"/>
      <c r="H5" s="44"/>
      <c r="I5" s="44"/>
      <c r="J5" s="44"/>
      <c r="K5" s="44"/>
      <c r="L5" s="47"/>
      <c r="M5" s="47"/>
      <c r="N5" s="47"/>
      <c r="O5" s="47"/>
      <c r="P5" s="47"/>
      <c r="Q5" s="47"/>
      <c r="R5" s="47"/>
      <c r="S5" s="47"/>
      <c r="T5" s="47"/>
    </row>
    <row r="6" spans="1:20" ht="147" customHeight="1">
      <c r="A6" s="44" t="s">
        <v>136</v>
      </c>
      <c r="B6" s="44"/>
      <c r="C6" s="44"/>
      <c r="D6" s="44"/>
      <c r="E6" s="44" t="s">
        <v>132</v>
      </c>
      <c r="F6" s="44"/>
      <c r="G6" s="44"/>
      <c r="H6" s="44"/>
      <c r="I6" s="44"/>
      <c r="J6" s="44"/>
      <c r="K6" s="44"/>
      <c r="L6" s="47"/>
      <c r="M6" s="47"/>
      <c r="N6" s="47"/>
      <c r="O6" s="47"/>
      <c r="P6" s="47"/>
      <c r="Q6" s="47"/>
      <c r="R6" s="47"/>
      <c r="S6" s="47"/>
      <c r="T6" s="47"/>
    </row>
    <row r="7" spans="1:20" ht="147" customHeight="1">
      <c r="A7" s="44" t="s">
        <v>137</v>
      </c>
      <c r="B7" s="44"/>
      <c r="C7" s="44"/>
      <c r="D7" s="44"/>
      <c r="E7" s="44" t="s">
        <v>132</v>
      </c>
      <c r="F7" s="44"/>
      <c r="G7" s="44"/>
      <c r="H7" s="44"/>
      <c r="I7" s="44"/>
      <c r="J7" s="44"/>
      <c r="K7" s="44"/>
      <c r="L7" s="47"/>
      <c r="M7" s="47"/>
      <c r="N7" s="47"/>
      <c r="O7" s="47"/>
      <c r="P7" s="47"/>
      <c r="Q7" s="47"/>
      <c r="R7" s="47"/>
      <c r="S7" s="47"/>
      <c r="T7" s="47"/>
    </row>
    <row r="8" spans="1:20" ht="147" customHeight="1">
      <c r="A8" s="44" t="s">
        <v>138</v>
      </c>
      <c r="B8" s="44"/>
      <c r="C8" s="44"/>
      <c r="D8" s="44"/>
      <c r="E8" s="44" t="s">
        <v>132</v>
      </c>
      <c r="F8" s="44"/>
      <c r="G8" s="44"/>
      <c r="H8" s="44"/>
      <c r="I8" s="44"/>
      <c r="J8" s="44"/>
      <c r="K8" s="44"/>
      <c r="L8" s="47"/>
      <c r="M8" s="47"/>
      <c r="N8" s="47"/>
      <c r="O8" s="47"/>
      <c r="P8" s="47"/>
      <c r="Q8" s="47"/>
      <c r="R8" s="47"/>
      <c r="S8" s="47"/>
      <c r="T8" s="47"/>
    </row>
    <row r="9" spans="1:20" ht="147" customHeight="1">
      <c r="A9" s="44" t="s">
        <v>139</v>
      </c>
      <c r="B9" s="44"/>
      <c r="C9" s="44"/>
      <c r="D9" s="44"/>
      <c r="E9" s="44" t="s">
        <v>132</v>
      </c>
      <c r="F9" s="44"/>
      <c r="G9" s="44"/>
      <c r="H9" s="44"/>
      <c r="I9" s="44"/>
      <c r="J9" s="44"/>
      <c r="K9" s="44"/>
      <c r="L9" s="47"/>
      <c r="M9" s="47"/>
      <c r="N9" s="47"/>
      <c r="O9" s="47"/>
      <c r="P9" s="47"/>
      <c r="Q9" s="47"/>
      <c r="R9" s="47"/>
      <c r="S9" s="47"/>
      <c r="T9" s="47"/>
    </row>
    <row r="10" spans="1:20" ht="96" customHeight="1">
      <c r="A10" s="42" t="s">
        <v>140</v>
      </c>
    </row>
    <row r="11" spans="1:20" ht="96" customHeight="1">
      <c r="A11" s="42" t="s">
        <v>141</v>
      </c>
    </row>
    <row r="12" spans="1:20" ht="96" customHeight="1">
      <c r="A12" s="42" t="s">
        <v>142</v>
      </c>
    </row>
    <row r="13" spans="1:20" ht="96" customHeight="1">
      <c r="A13" s="42" t="s">
        <v>143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T13"/>
  <sheetViews>
    <sheetView topLeftCell="B1" workbookViewId="0" xr3:uid="{51F8DEE0-4D01-5F28-A812-FC0BD7CAC4A5}">
      <pane ySplit="1" topLeftCell="A2" activePane="bottomLeft" state="frozen"/>
      <selection pane="bottomLeft" activeCell="B1" sqref="B1:T1"/>
    </sheetView>
  </sheetViews>
  <sheetFormatPr defaultRowHeight="15"/>
  <cols>
    <col min="1" max="1" width="12.28515625" style="43" bestFit="1" customWidth="1"/>
    <col min="2" max="2" width="15" style="43" bestFit="1" customWidth="1"/>
    <col min="3" max="3" width="14.28515625" style="43" bestFit="1" customWidth="1"/>
    <col min="4" max="4" width="10.85546875" style="43" bestFit="1" customWidth="1"/>
    <col min="5" max="5" width="8.5703125" style="43" bestFit="1" customWidth="1"/>
    <col min="6" max="6" width="15.7109375" style="43" bestFit="1" customWidth="1"/>
    <col min="7" max="7" width="11.140625" style="43" bestFit="1" customWidth="1"/>
    <col min="8" max="8" width="14.140625" style="43" bestFit="1" customWidth="1"/>
    <col min="9" max="9" width="10.28515625" style="43" bestFit="1" customWidth="1"/>
    <col min="10" max="10" width="11.28515625" style="43" bestFit="1" customWidth="1"/>
    <col min="11" max="11" width="6" style="43" bestFit="1" customWidth="1"/>
    <col min="12" max="12" width="15.28515625" bestFit="1" customWidth="1"/>
    <col min="13" max="13" width="15.85546875" bestFit="1" customWidth="1"/>
    <col min="14" max="14" width="13.28515625" bestFit="1" customWidth="1"/>
    <col min="15" max="15" width="7.5703125" bestFit="1" customWidth="1"/>
    <col min="16" max="16" width="17.5703125" bestFit="1" customWidth="1"/>
    <col min="17" max="17" width="15.28515625" bestFit="1" customWidth="1"/>
    <col min="18" max="18" width="18.85546875" bestFit="1" customWidth="1"/>
    <col min="19" max="19" width="15.7109375" bestFit="1" customWidth="1"/>
    <col min="20" max="20" width="18.28515625" customWidth="1"/>
  </cols>
  <sheetData>
    <row r="1" spans="1:20" ht="32.25" customHeight="1">
      <c r="A1" s="48" t="s">
        <v>113</v>
      </c>
      <c r="B1" s="57" t="s">
        <v>114</v>
      </c>
      <c r="C1" s="57" t="s">
        <v>115</v>
      </c>
      <c r="D1" s="57" t="s">
        <v>116</v>
      </c>
      <c r="E1" s="57" t="s">
        <v>117</v>
      </c>
      <c r="F1" s="57" t="s">
        <v>118</v>
      </c>
      <c r="G1" s="57" t="s">
        <v>119</v>
      </c>
      <c r="H1" s="57" t="s">
        <v>120</v>
      </c>
      <c r="I1" s="57" t="s">
        <v>121</v>
      </c>
      <c r="J1" s="57" t="s">
        <v>122</v>
      </c>
      <c r="K1" s="57" t="s">
        <v>123</v>
      </c>
      <c r="L1" s="57" t="s">
        <v>124</v>
      </c>
      <c r="M1" s="57" t="s">
        <v>125</v>
      </c>
      <c r="N1" s="57" t="s">
        <v>126</v>
      </c>
      <c r="O1" s="57" t="s">
        <v>127</v>
      </c>
      <c r="P1" s="57" t="s">
        <v>128</v>
      </c>
      <c r="Q1" s="57" t="s">
        <v>129</v>
      </c>
      <c r="R1" s="57" t="s">
        <v>130</v>
      </c>
      <c r="S1" s="56" t="s">
        <v>34</v>
      </c>
      <c r="T1" s="56" t="s">
        <v>35</v>
      </c>
    </row>
    <row r="2" spans="1:20" ht="149.25" customHeight="1">
      <c r="A2" s="44" t="s">
        <v>131</v>
      </c>
      <c r="B2" s="44"/>
      <c r="C2" s="44"/>
      <c r="D2" s="45"/>
      <c r="E2" s="44" t="s">
        <v>144</v>
      </c>
      <c r="F2" s="44"/>
      <c r="G2" s="44"/>
      <c r="H2" s="44"/>
      <c r="I2" s="44"/>
      <c r="J2" s="44"/>
      <c r="K2" s="44"/>
      <c r="L2" s="46">
        <f>Calendar!K50</f>
        <v>42805</v>
      </c>
      <c r="M2" s="47"/>
      <c r="N2" s="47"/>
      <c r="O2" s="47"/>
      <c r="P2" s="47"/>
      <c r="Q2" s="47"/>
      <c r="R2" s="47"/>
      <c r="S2" s="47"/>
      <c r="T2" s="47"/>
    </row>
    <row r="3" spans="1:20" ht="149.25" customHeight="1">
      <c r="A3" s="47" t="s">
        <v>133</v>
      </c>
      <c r="B3" s="47"/>
      <c r="C3" s="47"/>
      <c r="D3" s="47"/>
      <c r="E3" s="47" t="s">
        <v>144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20" ht="149.25" customHeight="1">
      <c r="A4" s="47" t="s">
        <v>134</v>
      </c>
      <c r="B4" s="47"/>
      <c r="C4" s="47"/>
      <c r="D4" s="47"/>
      <c r="E4" s="47" t="s">
        <v>144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ht="149.25" customHeight="1">
      <c r="A5" s="47" t="s">
        <v>135</v>
      </c>
      <c r="B5" s="47"/>
      <c r="C5" s="47"/>
      <c r="D5" s="47"/>
      <c r="E5" s="47" t="s">
        <v>144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1:20" ht="122.25" customHeight="1">
      <c r="A6" s="43" t="s">
        <v>136</v>
      </c>
    </row>
    <row r="7" spans="1:20" ht="122.25" customHeight="1">
      <c r="A7" s="43" t="s">
        <v>137</v>
      </c>
    </row>
    <row r="8" spans="1:20" ht="122.25" customHeight="1">
      <c r="A8" s="43" t="s">
        <v>138</v>
      </c>
    </row>
    <row r="9" spans="1:20" ht="122.25" customHeight="1">
      <c r="A9" s="43" t="s">
        <v>139</v>
      </c>
    </row>
    <row r="10" spans="1:20" ht="122.25" customHeight="1">
      <c r="A10" s="43" t="s">
        <v>140</v>
      </c>
    </row>
    <row r="11" spans="1:20" ht="122.25" customHeight="1">
      <c r="A11" s="43" t="s">
        <v>141</v>
      </c>
    </row>
    <row r="12" spans="1:20" ht="122.25" customHeight="1">
      <c r="A12" s="43" t="s">
        <v>142</v>
      </c>
    </row>
    <row r="13" spans="1:20" ht="122.25" customHeight="1">
      <c r="A13" s="43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T13"/>
  <sheetViews>
    <sheetView zoomScale="90" zoomScaleNormal="90" workbookViewId="0" xr3:uid="{F9CF3CF3-643B-5BE6-8B46-32C596A47465}">
      <pane ySplit="1" topLeftCell="A2" activePane="bottomLeft" state="frozen"/>
      <selection pane="bottomLeft" activeCell="G4" sqref="G4"/>
    </sheetView>
  </sheetViews>
  <sheetFormatPr defaultRowHeight="15"/>
  <cols>
    <col min="1" max="1" width="12.28515625" bestFit="1" customWidth="1"/>
    <col min="2" max="2" width="19.5703125" bestFit="1" customWidth="1"/>
    <col min="3" max="3" width="29" customWidth="1"/>
    <col min="4" max="4" width="16.28515625" customWidth="1"/>
    <col min="6" max="6" width="15.7109375" bestFit="1" customWidth="1"/>
    <col min="7" max="7" width="11.140625" bestFit="1" customWidth="1"/>
    <col min="8" max="8" width="14.140625" bestFit="1" customWidth="1"/>
    <col min="9" max="9" width="10.28515625" bestFit="1" customWidth="1"/>
    <col min="10" max="10" width="11.28515625" bestFit="1" customWidth="1"/>
    <col min="11" max="11" width="6" bestFit="1" customWidth="1"/>
    <col min="12" max="12" width="15.28515625" bestFit="1" customWidth="1"/>
    <col min="13" max="13" width="15.85546875" bestFit="1" customWidth="1"/>
    <col min="14" max="14" width="13.28515625" bestFit="1" customWidth="1"/>
    <col min="15" max="15" width="7.5703125" bestFit="1" customWidth="1"/>
    <col min="16" max="16" width="17.5703125" bestFit="1" customWidth="1"/>
    <col min="17" max="17" width="15.28515625" bestFit="1" customWidth="1"/>
    <col min="18" max="18" width="18.85546875" bestFit="1" customWidth="1"/>
    <col min="19" max="19" width="18.85546875" customWidth="1"/>
    <col min="20" max="20" width="18.42578125" customWidth="1"/>
  </cols>
  <sheetData>
    <row r="1" spans="1:20" ht="35.25" customHeight="1">
      <c r="A1" s="57" t="s">
        <v>113</v>
      </c>
      <c r="B1" s="57" t="s">
        <v>114</v>
      </c>
      <c r="C1" s="57" t="s">
        <v>115</v>
      </c>
      <c r="D1" s="57" t="s">
        <v>116</v>
      </c>
      <c r="E1" s="57" t="s">
        <v>117</v>
      </c>
      <c r="F1" s="57" t="s">
        <v>118</v>
      </c>
      <c r="G1" s="57" t="s">
        <v>119</v>
      </c>
      <c r="H1" s="57" t="s">
        <v>120</v>
      </c>
      <c r="I1" s="57" t="s">
        <v>121</v>
      </c>
      <c r="J1" s="57" t="s">
        <v>122</v>
      </c>
      <c r="K1" s="57" t="s">
        <v>123</v>
      </c>
      <c r="L1" s="57" t="s">
        <v>124</v>
      </c>
      <c r="M1" s="57" t="s">
        <v>125</v>
      </c>
      <c r="N1" s="57" t="s">
        <v>126</v>
      </c>
      <c r="O1" s="57" t="s">
        <v>127</v>
      </c>
      <c r="P1" s="57" t="s">
        <v>128</v>
      </c>
      <c r="Q1" s="57" t="s">
        <v>129</v>
      </c>
      <c r="R1" s="57" t="s">
        <v>130</v>
      </c>
      <c r="S1" s="56" t="s">
        <v>34</v>
      </c>
      <c r="T1" s="56" t="s">
        <v>35</v>
      </c>
    </row>
    <row r="2" spans="1:20" ht="90.75" customHeight="1">
      <c r="A2" s="44" t="s">
        <v>131</v>
      </c>
      <c r="B2" s="44" t="s">
        <v>145</v>
      </c>
      <c r="C2" s="44"/>
      <c r="D2" s="44"/>
      <c r="E2" s="44"/>
      <c r="F2" s="44"/>
      <c r="G2" s="44"/>
      <c r="H2" s="44"/>
      <c r="I2" s="44"/>
      <c r="J2" s="44"/>
      <c r="K2" s="44"/>
      <c r="L2" s="45">
        <f>Calendar!K51</f>
        <v>42836</v>
      </c>
      <c r="M2" s="44"/>
      <c r="N2" s="44"/>
      <c r="O2" s="44"/>
      <c r="P2" s="44"/>
      <c r="Q2" s="44"/>
      <c r="R2" s="44"/>
      <c r="S2" s="44"/>
      <c r="T2" s="44"/>
    </row>
    <row r="3" spans="1:20" ht="91.5" customHeight="1">
      <c r="A3" s="44" t="s">
        <v>133</v>
      </c>
      <c r="B3" s="44" t="s">
        <v>146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spans="1:20" ht="91.5" customHeight="1">
      <c r="A4" s="44" t="s">
        <v>134</v>
      </c>
      <c r="B4" s="44" t="s">
        <v>147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ht="91.5" customHeight="1">
      <c r="A5" s="44" t="s">
        <v>135</v>
      </c>
      <c r="B5" s="44" t="s">
        <v>148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ht="69.75" customHeight="1">
      <c r="A6" t="s">
        <v>136</v>
      </c>
    </row>
    <row r="7" spans="1:20" ht="69.75" customHeight="1">
      <c r="A7" t="s">
        <v>137</v>
      </c>
    </row>
    <row r="8" spans="1:20" ht="69.75" customHeight="1">
      <c r="A8" t="s">
        <v>138</v>
      </c>
    </row>
    <row r="9" spans="1:20" ht="69.75" customHeight="1">
      <c r="A9" t="s">
        <v>139</v>
      </c>
    </row>
    <row r="10" spans="1:20" ht="69.75" customHeight="1">
      <c r="A10" t="s">
        <v>140</v>
      </c>
      <c r="B10" t="s">
        <v>149</v>
      </c>
    </row>
    <row r="11" spans="1:20" ht="69.75" customHeight="1">
      <c r="A11" t="s">
        <v>141</v>
      </c>
    </row>
    <row r="12" spans="1:20" ht="69.75" customHeight="1">
      <c r="A12" t="s">
        <v>142</v>
      </c>
    </row>
    <row r="13" spans="1:20" ht="69.75" customHeight="1">
      <c r="A13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MubdeABsi</dc:creator>
  <cp:keywords/>
  <dc:description/>
  <cp:lastModifiedBy>Mubde' ABSI</cp:lastModifiedBy>
  <cp:revision/>
  <dcterms:created xsi:type="dcterms:W3CDTF">2017-02-24T12:23:50Z</dcterms:created>
  <dcterms:modified xsi:type="dcterms:W3CDTF">2017-04-08T14:34:12Z</dcterms:modified>
  <cp:category/>
  <cp:contentStatus/>
</cp:coreProperties>
</file>