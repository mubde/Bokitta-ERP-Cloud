
<file path=[Content_Types].xml><?xml version="1.0" encoding="utf-8"?>
<Types xmlns="http://schemas.openxmlformats.org/package/2006/content-types"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oogle Drive\Bokitta Business\ERP\"/>
    </mc:Choice>
  </mc:AlternateContent>
  <xr:revisionPtr revIDLastSave="0" documentId="13_ncr:1_{3BFF846C-C220-4C10-B6F8-7490D068F80E}" xr6:coauthVersionLast="32" xr6:coauthVersionMax="32" xr10:uidLastSave="{00000000-0000-0000-0000-000000000000}"/>
  <bookViews>
    <workbookView xWindow="-15" yWindow="5100" windowWidth="22005" windowHeight="5130" xr2:uid="{00000000-000D-0000-FFFF-FFFF00000000}"/>
  </bookViews>
  <sheets>
    <sheet name="CoverPage" sheetId="6" r:id="rId1"/>
    <sheet name="Account" sheetId="5" r:id="rId2"/>
  </sheets>
  <calcPr calcId="179017"/>
</workbook>
</file>

<file path=xl/calcChain.xml><?xml version="1.0" encoding="utf-8"?>
<calcChain xmlns="http://schemas.openxmlformats.org/spreadsheetml/2006/main">
  <c r="H6" i="5" l="1"/>
  <c r="H7" i="5" s="1"/>
  <c r="H8" i="5" s="1"/>
  <c r="H9" i="5" s="1"/>
  <c r="G5" i="5"/>
  <c r="F5" i="5"/>
  <c r="H2" i="5"/>
</calcChain>
</file>

<file path=xl/sharedStrings.xml><?xml version="1.0" encoding="utf-8"?>
<sst xmlns="http://schemas.openxmlformats.org/spreadsheetml/2006/main" count="20" uniqueCount="17">
  <si>
    <t>Due Immediately</t>
  </si>
  <si>
    <t>Statement of Account</t>
  </si>
  <si>
    <t>Transaction Type</t>
  </si>
  <si>
    <t>Transaction #</t>
  </si>
  <si>
    <t>Transaction Date</t>
  </si>
  <si>
    <t>Comment</t>
  </si>
  <si>
    <t>Debit</t>
  </si>
  <si>
    <t>Credit</t>
  </si>
  <si>
    <t>Balance</t>
  </si>
  <si>
    <t>Due Immediately:</t>
  </si>
  <si>
    <t>Quarter Advance</t>
  </si>
  <si>
    <t>Balance Invoices and Payments</t>
  </si>
  <si>
    <t>Payment</t>
  </si>
  <si>
    <t>Invoice</t>
  </si>
  <si>
    <t>CF-I-1-150310</t>
  </si>
  <si>
    <t>CF-I-2-150412</t>
  </si>
  <si>
    <t>CF-I-3-150508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</si>
</sst>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&quot;$&quot;#,##0"/>
  </numFmts>
  <fonts count="4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20"/>
      <color rgb="FF000000"/>
      <name val="Trajan Pro"/>
      <family val="1"/>
    </font>
    <font>
      <sz val="11"/>
      <color theme="1"/>
      <name val="Calibri"/>
      <family val="2"/>
    </font>
    <font>
      <sz val="48"/>
      <color rgb="FFFF0000"/>
      <name val="Calibri"/>
      <family val="2"/>
    </font>
    <font>
      <sz val="72"/>
      <color rgb="FFFFFFFF"/>
      <name val="Calibri"/>
      <family val="2"/>
    </font>
    <font>
      <b/>
      <sz val="18"/>
      <name val="Trajan Pro"/>
      <family val="1"/>
    </font>
    <font>
      <sz val="22"/>
      <color rgb="FF000000"/>
      <name val="Trajan Pro"/>
      <family val="1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4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0000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92D050"/>
        <bgColor rgb="FF000000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42">
    <xf numFmtId="0" fontId="0" fillId="0" borderId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1" fillId="10" borderId="0" applyNumberFormat="0" applyBorder="0" applyAlignment="0" applyProtection="0"/>
    <xf numFmtId="0" fontId="2" fillId="3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27" borderId="10" applyNumberFormat="0" applyAlignment="0" applyProtection="0"/>
    <xf numFmtId="0" fontId="12" fillId="27" borderId="10" applyNumberFormat="0" applyAlignment="0" applyProtection="0"/>
    <xf numFmtId="0" fontId="12" fillId="27" borderId="10" applyNumberFormat="0" applyAlignment="0" applyProtection="0"/>
    <xf numFmtId="0" fontId="13" fillId="6" borderId="1" applyNumberFormat="0" applyAlignment="0" applyProtection="0"/>
    <xf numFmtId="0" fontId="14" fillId="28" borderId="11" applyNumberFormat="0" applyAlignment="0" applyProtection="0"/>
    <xf numFmtId="0" fontId="5" fillId="7" borderId="2" applyNumberFormat="0" applyAlignment="0" applyProtection="0"/>
    <xf numFmtId="0" fontId="14" fillId="28" borderId="11" applyNumberFormat="0" applyAlignment="0" applyProtection="0"/>
    <xf numFmtId="0" fontId="14" fillId="28" borderId="11" applyNumberFormat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11" borderId="0" applyNumberFormat="0" applyBorder="0" applyAlignment="0" applyProtection="0"/>
    <xf numFmtId="0" fontId="1" fillId="2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14" borderId="10" applyNumberFormat="0" applyAlignment="0" applyProtection="0"/>
    <xf numFmtId="0" fontId="4" fillId="5" borderId="1" applyNumberFormat="0" applyAlignment="0" applyProtection="0"/>
    <xf numFmtId="0" fontId="20" fillId="14" borderId="10" applyNumberFormat="0" applyAlignment="0" applyProtection="0"/>
    <xf numFmtId="0" fontId="20" fillId="14" borderId="10" applyNumberFormat="0" applyAlignment="0" applyProtection="0"/>
    <xf numFmtId="0" fontId="21" fillId="0" borderId="15" applyNumberFormat="0" applyFill="0" applyAlignment="0" applyProtection="0"/>
    <xf numFmtId="0" fontId="21" fillId="0" borderId="15" applyNumberFormat="0" applyFill="0" applyAlignment="0" applyProtection="0"/>
    <xf numFmtId="0" fontId="21" fillId="0" borderId="15" applyNumberFormat="0" applyFill="0" applyAlignment="0" applyProtection="0"/>
    <xf numFmtId="0" fontId="22" fillId="29" borderId="0" applyNumberFormat="0" applyBorder="0" applyAlignment="0" applyProtection="0"/>
    <xf numFmtId="0" fontId="3" fillId="4" borderId="0" applyNumberFormat="0" applyBorder="0" applyAlignment="0" applyProtection="0"/>
    <xf numFmtId="0" fontId="22" fillId="29" borderId="0" applyNumberFormat="0" applyBorder="0" applyAlignment="0" applyProtection="0"/>
    <xf numFmtId="0" fontId="22" fillId="2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30" borderId="16" applyNumberFormat="0" applyFont="0" applyAlignment="0" applyProtection="0"/>
    <xf numFmtId="0" fontId="6" fillId="8" borderId="3" applyNumberFormat="0" applyFont="0" applyAlignment="0" applyProtection="0"/>
    <xf numFmtId="0" fontId="6" fillId="8" borderId="3" applyNumberFormat="0" applyFont="0" applyAlignment="0" applyProtection="0"/>
    <xf numFmtId="0" fontId="9" fillId="30" borderId="16" applyNumberFormat="0" applyFont="0" applyAlignment="0" applyProtection="0"/>
    <xf numFmtId="0" fontId="9" fillId="30" borderId="16" applyNumberFormat="0" applyFont="0" applyAlignment="0" applyProtection="0"/>
    <xf numFmtId="0" fontId="23" fillId="27" borderId="17" applyNumberFormat="0" applyAlignment="0" applyProtection="0"/>
    <xf numFmtId="0" fontId="23" fillId="27" borderId="17" applyNumberFormat="0" applyAlignment="0" applyProtection="0"/>
    <xf numFmtId="0" fontId="23" fillId="27" borderId="17" applyNumberFormat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44" fontId="27" fillId="0" borderId="0" applyFont="0" applyFill="0" applyBorder="0" applyAlignment="0" applyProtection="0"/>
  </cellStyleXfs>
  <cellXfs count="39">
    <xf numFmtId="0" fontId="0" fillId="0" borderId="0" xfId="0"/>
    <xf numFmtId="0" fontId="28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0" fontId="30" fillId="0" borderId="0" xfId="0" applyFont="1" applyFill="1" applyBorder="1" applyAlignment="1">
      <alignment horizontal="center" vertical="center"/>
    </xf>
    <xf numFmtId="165" fontId="31" fillId="31" borderId="0" xfId="141" applyNumberFormat="1" applyFont="1" applyFill="1" applyBorder="1"/>
    <xf numFmtId="14" fontId="32" fillId="32" borderId="20" xfId="0" applyNumberFormat="1" applyFont="1" applyFill="1" applyBorder="1" applyAlignment="1">
      <alignment horizontal="center" vertical="center"/>
    </xf>
    <xf numFmtId="0" fontId="34" fillId="0" borderId="19" xfId="0" applyFont="1" applyFill="1" applyBorder="1" applyAlignment="1">
      <alignment wrapText="1"/>
    </xf>
    <xf numFmtId="2" fontId="35" fillId="0" borderId="0" xfId="0" applyNumberFormat="1" applyFont="1" applyFill="1" applyBorder="1"/>
    <xf numFmtId="14" fontId="35" fillId="0" borderId="0" xfId="0" applyNumberFormat="1" applyFont="1" applyFill="1" applyBorder="1" applyAlignment="1">
      <alignment horizontal="right" wrapText="1"/>
    </xf>
    <xf numFmtId="14" fontId="35" fillId="0" borderId="0" xfId="0" applyNumberFormat="1" applyFont="1" applyFill="1" applyBorder="1"/>
    <xf numFmtId="164" fontId="35" fillId="0" borderId="0" xfId="0" applyNumberFormat="1" applyFont="1" applyFill="1" applyBorder="1" applyAlignment="1">
      <alignment horizontal="right"/>
    </xf>
    <xf numFmtId="164" fontId="35" fillId="0" borderId="0" xfId="0" applyNumberFormat="1" applyFont="1" applyFill="1" applyBorder="1" applyAlignment="1">
      <alignment horizontal="right" wrapText="1"/>
    </xf>
    <xf numFmtId="164" fontId="36" fillId="33" borderId="21" xfId="0" applyNumberFormat="1" applyFont="1" applyFill="1" applyBorder="1" applyAlignment="1">
      <alignment horizontal="right"/>
    </xf>
    <xf numFmtId="2" fontId="38" fillId="0" borderId="6" xfId="0" applyNumberFormat="1" applyFont="1" applyFill="1" applyBorder="1"/>
    <xf numFmtId="14" fontId="35" fillId="0" borderId="6" xfId="0" applyNumberFormat="1" applyFont="1" applyFill="1" applyBorder="1" applyAlignment="1">
      <alignment horizontal="right" wrapText="1"/>
    </xf>
    <xf numFmtId="14" fontId="35" fillId="0" borderId="6" xfId="0" applyNumberFormat="1" applyFont="1" applyFill="1" applyBorder="1"/>
    <xf numFmtId="164" fontId="35" fillId="0" borderId="6" xfId="0" applyNumberFormat="1" applyFont="1" applyFill="1" applyBorder="1" applyAlignment="1">
      <alignment horizontal="right"/>
    </xf>
    <xf numFmtId="164" fontId="35" fillId="0" borderId="6" xfId="0" applyNumberFormat="1" applyFont="1" applyFill="1" applyBorder="1" applyAlignment="1">
      <alignment horizontal="right" wrapText="1"/>
    </xf>
    <xf numFmtId="0" fontId="29" fillId="0" borderId="4" xfId="0" applyFont="1" applyFill="1" applyBorder="1"/>
    <xf numFmtId="14" fontId="29" fillId="0" borderId="4" xfId="0" applyNumberFormat="1" applyFont="1" applyFill="1" applyBorder="1"/>
    <xf numFmtId="14" fontId="38" fillId="0" borderId="4" xfId="0" applyNumberFormat="1" applyFont="1" applyFill="1" applyBorder="1" applyAlignment="1">
      <alignment wrapText="1"/>
    </xf>
    <xf numFmtId="164" fontId="36" fillId="0" borderId="4" xfId="0" applyNumberFormat="1" applyFont="1" applyFill="1" applyBorder="1" applyAlignment="1">
      <alignment horizontal="right"/>
    </xf>
    <xf numFmtId="0" fontId="29" fillId="0" borderId="19" xfId="0" applyFont="1" applyFill="1" applyBorder="1"/>
    <xf numFmtId="0" fontId="29" fillId="0" borderId="0" xfId="0" quotePrefix="1" applyNumberFormat="1" applyFont="1" applyFill="1" applyBorder="1"/>
    <xf numFmtId="14" fontId="29" fillId="0" borderId="0" xfId="0" applyNumberFormat="1" applyFont="1" applyFill="1" applyBorder="1"/>
    <xf numFmtId="164" fontId="29" fillId="0" borderId="0" xfId="0" applyNumberFormat="1" applyFont="1" applyFill="1" applyBorder="1" applyAlignment="1">
      <alignment horizontal="right"/>
    </xf>
    <xf numFmtId="8" fontId="40" fillId="33" borderId="21" xfId="0" applyNumberFormat="1" applyFont="1" applyFill="1" applyBorder="1"/>
    <xf numFmtId="2" fontId="29" fillId="0" borderId="0" xfId="0" applyNumberFormat="1" applyFont="1" applyFill="1" applyBorder="1"/>
    <xf numFmtId="8" fontId="40" fillId="33" borderId="0" xfId="0" applyNumberFormat="1" applyFont="1" applyFill="1" applyBorder="1"/>
    <xf numFmtId="164" fontId="40" fillId="33" borderId="0" xfId="0" applyNumberFormat="1" applyFont="1" applyFill="1" applyBorder="1"/>
    <xf numFmtId="0" fontId="29" fillId="0" borderId="5" xfId="0" applyFont="1" applyFill="1" applyBorder="1" applyAlignment="1">
      <alignment horizontal="center"/>
    </xf>
    <xf numFmtId="0" fontId="29" fillId="0" borderId="6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33" fillId="0" borderId="19" xfId="0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 applyAlignment="1">
      <alignment horizontal="center" vertical="center"/>
    </xf>
    <xf numFmtId="0" fontId="37" fillId="0" borderId="5" xfId="0" applyFont="1" applyFill="1" applyBorder="1" applyAlignment="1">
      <alignment horizontal="center" vertical="center" wrapText="1"/>
    </xf>
    <xf numFmtId="0" fontId="37" fillId="0" borderId="8" xfId="0" applyFont="1" applyFill="1" applyBorder="1" applyAlignment="1">
      <alignment horizontal="center" vertical="center" wrapText="1"/>
    </xf>
    <xf numFmtId="166" fontId="39" fillId="31" borderId="7" xfId="141" applyNumberFormat="1" applyFont="1" applyFill="1" applyBorder="1" applyAlignment="1">
      <alignment horizontal="center" vertical="center"/>
    </xf>
    <xf numFmtId="166" fontId="39" fillId="34" borderId="9" xfId="141" applyNumberFormat="1" applyFont="1" applyFill="1" applyBorder="1" applyAlignment="1">
      <alignment horizontal="center" vertical="center"/>
    </xf>
  </cellXfs>
  <cellStyles count="142">
    <cellStyle name="20% - Accent1 2" xfId="4" xr:uid="{00000000-0005-0000-0000-000000000000}"/>
    <cellStyle name="20% - Accent1 3" xfId="5" xr:uid="{00000000-0005-0000-0000-000001000000}"/>
    <cellStyle name="20% - Accent1 4" xfId="6" xr:uid="{00000000-0005-0000-0000-000002000000}"/>
    <cellStyle name="20% - Accent2 2" xfId="7" xr:uid="{00000000-0005-0000-0000-000003000000}"/>
    <cellStyle name="20% - Accent2 3" xfId="8" xr:uid="{00000000-0005-0000-0000-000004000000}"/>
    <cellStyle name="20% - Accent2 4" xfId="9" xr:uid="{00000000-0005-0000-0000-000005000000}"/>
    <cellStyle name="20% - Accent3 2" xfId="10" xr:uid="{00000000-0005-0000-0000-000006000000}"/>
    <cellStyle name="20% - Accent3 3" xfId="11" xr:uid="{00000000-0005-0000-0000-000007000000}"/>
    <cellStyle name="20% - Accent3 4" xfId="12" xr:uid="{00000000-0005-0000-0000-000008000000}"/>
    <cellStyle name="20% - Accent4 2" xfId="13" xr:uid="{00000000-0005-0000-0000-000009000000}"/>
    <cellStyle name="20% - Accent4 3" xfId="14" xr:uid="{00000000-0005-0000-0000-00000A000000}"/>
    <cellStyle name="20% - Accent4 4" xfId="15" xr:uid="{00000000-0005-0000-0000-00000B000000}"/>
    <cellStyle name="20% - Accent5 2" xfId="16" xr:uid="{00000000-0005-0000-0000-00000C000000}"/>
    <cellStyle name="20% - Accent5 3" xfId="17" xr:uid="{00000000-0005-0000-0000-00000D000000}"/>
    <cellStyle name="20% - Accent5 4" xfId="18" xr:uid="{00000000-0005-0000-0000-00000E000000}"/>
    <cellStyle name="20% - Accent6 2" xfId="19" xr:uid="{00000000-0005-0000-0000-00000F000000}"/>
    <cellStyle name="20% - Accent6 3" xfId="20" xr:uid="{00000000-0005-0000-0000-000010000000}"/>
    <cellStyle name="20% - Accent6 4" xfId="21" xr:uid="{00000000-0005-0000-0000-000011000000}"/>
    <cellStyle name="40% - Accent1 2" xfId="22" xr:uid="{00000000-0005-0000-0000-000012000000}"/>
    <cellStyle name="40% - Accent1 3" xfId="23" xr:uid="{00000000-0005-0000-0000-000013000000}"/>
    <cellStyle name="40% - Accent1 4" xfId="24" xr:uid="{00000000-0005-0000-0000-000014000000}"/>
    <cellStyle name="40% - Accent2 2" xfId="25" xr:uid="{00000000-0005-0000-0000-000015000000}"/>
    <cellStyle name="40% - Accent2 3" xfId="26" xr:uid="{00000000-0005-0000-0000-000016000000}"/>
    <cellStyle name="40% - Accent2 4" xfId="27" xr:uid="{00000000-0005-0000-0000-000017000000}"/>
    <cellStyle name="40% - Accent3 2" xfId="28" xr:uid="{00000000-0005-0000-0000-000018000000}"/>
    <cellStyle name="40% - Accent3 3" xfId="29" xr:uid="{00000000-0005-0000-0000-000019000000}"/>
    <cellStyle name="40% - Accent3 4" xfId="30" xr:uid="{00000000-0005-0000-0000-00001A000000}"/>
    <cellStyle name="40% - Accent4 2" xfId="31" xr:uid="{00000000-0005-0000-0000-00001B000000}"/>
    <cellStyle name="40% - Accent4 3" xfId="32" xr:uid="{00000000-0005-0000-0000-00001C000000}"/>
    <cellStyle name="40% - Accent4 4" xfId="33" xr:uid="{00000000-0005-0000-0000-00001D000000}"/>
    <cellStyle name="40% - Accent5 2" xfId="34" xr:uid="{00000000-0005-0000-0000-00001E000000}"/>
    <cellStyle name="40% - Accent5 3" xfId="35" xr:uid="{00000000-0005-0000-0000-00001F000000}"/>
    <cellStyle name="40% - Accent5 4" xfId="36" xr:uid="{00000000-0005-0000-0000-000020000000}"/>
    <cellStyle name="40% - Accent6 2" xfId="37" xr:uid="{00000000-0005-0000-0000-000021000000}"/>
    <cellStyle name="40% - Accent6 3" xfId="38" xr:uid="{00000000-0005-0000-0000-000022000000}"/>
    <cellStyle name="40% - Accent6 4" xfId="39" xr:uid="{00000000-0005-0000-0000-000023000000}"/>
    <cellStyle name="60% - Accent1 2" xfId="40" xr:uid="{00000000-0005-0000-0000-000024000000}"/>
    <cellStyle name="60% - Accent1 3" xfId="41" xr:uid="{00000000-0005-0000-0000-000025000000}"/>
    <cellStyle name="60% - Accent1 4" xfId="42" xr:uid="{00000000-0005-0000-0000-000026000000}"/>
    <cellStyle name="60% - Accent2 2" xfId="43" xr:uid="{00000000-0005-0000-0000-000027000000}"/>
    <cellStyle name="60% - Accent2 3" xfId="44" xr:uid="{00000000-0005-0000-0000-000028000000}"/>
    <cellStyle name="60% - Accent2 4" xfId="45" xr:uid="{00000000-0005-0000-0000-000029000000}"/>
    <cellStyle name="60% - Accent3 2" xfId="46" xr:uid="{00000000-0005-0000-0000-00002A000000}"/>
    <cellStyle name="60% - Accent3 3" xfId="47" xr:uid="{00000000-0005-0000-0000-00002B000000}"/>
    <cellStyle name="60% - Accent3 4" xfId="48" xr:uid="{00000000-0005-0000-0000-00002C000000}"/>
    <cellStyle name="60% - Accent4 2" xfId="49" xr:uid="{00000000-0005-0000-0000-00002D000000}"/>
    <cellStyle name="60% - Accent4 3" xfId="50" xr:uid="{00000000-0005-0000-0000-00002E000000}"/>
    <cellStyle name="60% - Accent4 4" xfId="51" xr:uid="{00000000-0005-0000-0000-00002F000000}"/>
    <cellStyle name="60% - Accent5 2" xfId="52" xr:uid="{00000000-0005-0000-0000-000030000000}"/>
    <cellStyle name="60% - Accent5 3" xfId="53" xr:uid="{00000000-0005-0000-0000-000031000000}"/>
    <cellStyle name="60% - Accent5 4" xfId="54" xr:uid="{00000000-0005-0000-0000-000032000000}"/>
    <cellStyle name="60% - Accent6 2" xfId="55" xr:uid="{00000000-0005-0000-0000-000033000000}"/>
    <cellStyle name="60% - Accent6 3" xfId="56" xr:uid="{00000000-0005-0000-0000-000034000000}"/>
    <cellStyle name="60% - Accent6 4" xfId="57" xr:uid="{00000000-0005-0000-0000-000035000000}"/>
    <cellStyle name="Accent1 2" xfId="58" xr:uid="{00000000-0005-0000-0000-000036000000}"/>
    <cellStyle name="Accent1 3" xfId="59" xr:uid="{00000000-0005-0000-0000-000037000000}"/>
    <cellStyle name="Accent1 4" xfId="60" xr:uid="{00000000-0005-0000-0000-000038000000}"/>
    <cellStyle name="Accent2 2" xfId="61" xr:uid="{00000000-0005-0000-0000-000039000000}"/>
    <cellStyle name="Accent2 3" xfId="62" xr:uid="{00000000-0005-0000-0000-00003A000000}"/>
    <cellStyle name="Accent2 4" xfId="63" xr:uid="{00000000-0005-0000-0000-00003B000000}"/>
    <cellStyle name="Accent3 2" xfId="64" xr:uid="{00000000-0005-0000-0000-00003C000000}"/>
    <cellStyle name="Accent3 3" xfId="65" xr:uid="{00000000-0005-0000-0000-00003D000000}"/>
    <cellStyle name="Accent3 4" xfId="66" xr:uid="{00000000-0005-0000-0000-00003E000000}"/>
    <cellStyle name="Accent4 2" xfId="67" xr:uid="{00000000-0005-0000-0000-00003F000000}"/>
    <cellStyle name="Accent4 3" xfId="68" xr:uid="{00000000-0005-0000-0000-000040000000}"/>
    <cellStyle name="Accent4 4" xfId="69" xr:uid="{00000000-0005-0000-0000-000041000000}"/>
    <cellStyle name="Accent5 2" xfId="70" xr:uid="{00000000-0005-0000-0000-000042000000}"/>
    <cellStyle name="Accent5 3" xfId="71" xr:uid="{00000000-0005-0000-0000-000043000000}"/>
    <cellStyle name="Accent5 4" xfId="72" xr:uid="{00000000-0005-0000-0000-000044000000}"/>
    <cellStyle name="Accent6 2" xfId="73" xr:uid="{00000000-0005-0000-0000-000045000000}"/>
    <cellStyle name="Accent6 3" xfId="74" xr:uid="{00000000-0005-0000-0000-000046000000}"/>
    <cellStyle name="Accent6 4" xfId="75" xr:uid="{00000000-0005-0000-0000-000047000000}"/>
    <cellStyle name="Bad 2" xfId="76" xr:uid="{00000000-0005-0000-0000-000048000000}"/>
    <cellStyle name="Bad 2 2" xfId="77" xr:uid="{00000000-0005-0000-0000-000049000000}"/>
    <cellStyle name="Bad 3" xfId="78" xr:uid="{00000000-0005-0000-0000-00004A000000}"/>
    <cellStyle name="Bad 4" xfId="79" xr:uid="{00000000-0005-0000-0000-00004B000000}"/>
    <cellStyle name="Calculation 2" xfId="80" xr:uid="{00000000-0005-0000-0000-00004C000000}"/>
    <cellStyle name="Calculation 3" xfId="81" xr:uid="{00000000-0005-0000-0000-00004D000000}"/>
    <cellStyle name="Calculation 4" xfId="82" xr:uid="{00000000-0005-0000-0000-00004E000000}"/>
    <cellStyle name="Calculation 5" xfId="83" xr:uid="{00000000-0005-0000-0000-00004F000000}"/>
    <cellStyle name="Check Cell 2" xfId="84" xr:uid="{00000000-0005-0000-0000-000050000000}"/>
    <cellStyle name="Check Cell 2 2" xfId="85" xr:uid="{00000000-0005-0000-0000-000051000000}"/>
    <cellStyle name="Check Cell 3" xfId="86" xr:uid="{00000000-0005-0000-0000-000052000000}"/>
    <cellStyle name="Check Cell 4" xfId="87" xr:uid="{00000000-0005-0000-0000-000053000000}"/>
    <cellStyle name="Currency" xfId="141" builtinId="4"/>
    <cellStyle name="Explanatory Text 2" xfId="88" xr:uid="{00000000-0005-0000-0000-000055000000}"/>
    <cellStyle name="Explanatory Text 3" xfId="89" xr:uid="{00000000-0005-0000-0000-000056000000}"/>
    <cellStyle name="Explanatory Text 4" xfId="90" xr:uid="{00000000-0005-0000-0000-000057000000}"/>
    <cellStyle name="Good 2" xfId="91" xr:uid="{00000000-0005-0000-0000-000058000000}"/>
    <cellStyle name="Good 2 2" xfId="92" xr:uid="{00000000-0005-0000-0000-000059000000}"/>
    <cellStyle name="Good 3" xfId="93" xr:uid="{00000000-0005-0000-0000-00005A000000}"/>
    <cellStyle name="Good 4" xfId="94" xr:uid="{00000000-0005-0000-0000-00005B000000}"/>
    <cellStyle name="Heading 1 2" xfId="95" xr:uid="{00000000-0005-0000-0000-00005C000000}"/>
    <cellStyle name="Heading 1 3" xfId="96" xr:uid="{00000000-0005-0000-0000-00005D000000}"/>
    <cellStyle name="Heading 1 4" xfId="97" xr:uid="{00000000-0005-0000-0000-00005E000000}"/>
    <cellStyle name="Heading 2 2" xfId="98" xr:uid="{00000000-0005-0000-0000-00005F000000}"/>
    <cellStyle name="Heading 2 3" xfId="99" xr:uid="{00000000-0005-0000-0000-000060000000}"/>
    <cellStyle name="Heading 2 4" xfId="100" xr:uid="{00000000-0005-0000-0000-000061000000}"/>
    <cellStyle name="Heading 3 2" xfId="101" xr:uid="{00000000-0005-0000-0000-000062000000}"/>
    <cellStyle name="Heading 3 3" xfId="102" xr:uid="{00000000-0005-0000-0000-000063000000}"/>
    <cellStyle name="Heading 3 4" xfId="103" xr:uid="{00000000-0005-0000-0000-000064000000}"/>
    <cellStyle name="Heading 4 2" xfId="104" xr:uid="{00000000-0005-0000-0000-000065000000}"/>
    <cellStyle name="Heading 4 3" xfId="105" xr:uid="{00000000-0005-0000-0000-000066000000}"/>
    <cellStyle name="Heading 4 4" xfId="106" xr:uid="{00000000-0005-0000-0000-000067000000}"/>
    <cellStyle name="Hyperlink 2" xfId="2" xr:uid="{00000000-0005-0000-0000-000068000000}"/>
    <cellStyle name="Input 2" xfId="107" xr:uid="{00000000-0005-0000-0000-000069000000}"/>
    <cellStyle name="Input 2 2" xfId="108" xr:uid="{00000000-0005-0000-0000-00006A000000}"/>
    <cellStyle name="Input 3" xfId="109" xr:uid="{00000000-0005-0000-0000-00006B000000}"/>
    <cellStyle name="Input 4" xfId="110" xr:uid="{00000000-0005-0000-0000-00006C000000}"/>
    <cellStyle name="Linked Cell 2" xfId="111" xr:uid="{00000000-0005-0000-0000-00006D000000}"/>
    <cellStyle name="Linked Cell 3" xfId="112" xr:uid="{00000000-0005-0000-0000-00006E000000}"/>
    <cellStyle name="Linked Cell 4" xfId="113" xr:uid="{00000000-0005-0000-0000-00006F000000}"/>
    <cellStyle name="Neutral 2" xfId="114" xr:uid="{00000000-0005-0000-0000-000070000000}"/>
    <cellStyle name="Neutral 2 2" xfId="115" xr:uid="{00000000-0005-0000-0000-000071000000}"/>
    <cellStyle name="Neutral 3" xfId="116" xr:uid="{00000000-0005-0000-0000-000072000000}"/>
    <cellStyle name="Neutral 4" xfId="117" xr:uid="{00000000-0005-0000-0000-000073000000}"/>
    <cellStyle name="Normal" xfId="0" builtinId="0"/>
    <cellStyle name="Normal 2" xfId="1" xr:uid="{00000000-0005-0000-0000-000075000000}"/>
    <cellStyle name="Normal 3" xfId="118" xr:uid="{00000000-0005-0000-0000-000076000000}"/>
    <cellStyle name="Normal 3 2" xfId="119" xr:uid="{00000000-0005-0000-0000-000077000000}"/>
    <cellStyle name="Normal 4" xfId="120" xr:uid="{00000000-0005-0000-0000-000078000000}"/>
    <cellStyle name="Normal 4 2" xfId="121" xr:uid="{00000000-0005-0000-0000-000079000000}"/>
    <cellStyle name="Normal 5" xfId="122" xr:uid="{00000000-0005-0000-0000-00007A000000}"/>
    <cellStyle name="Normal 5 2" xfId="123" xr:uid="{00000000-0005-0000-0000-00007B000000}"/>
    <cellStyle name="Normal 6" xfId="3" xr:uid="{00000000-0005-0000-0000-00007C000000}"/>
    <cellStyle name="Note 2" xfId="124" xr:uid="{00000000-0005-0000-0000-00007D000000}"/>
    <cellStyle name="Note 2 2" xfId="125" xr:uid="{00000000-0005-0000-0000-00007E000000}"/>
    <cellStyle name="Note 2 2 2" xfId="126" xr:uid="{00000000-0005-0000-0000-00007F000000}"/>
    <cellStyle name="Note 3" xfId="127" xr:uid="{00000000-0005-0000-0000-000080000000}"/>
    <cellStyle name="Note 4" xfId="128" xr:uid="{00000000-0005-0000-0000-000081000000}"/>
    <cellStyle name="Output 2" xfId="129" xr:uid="{00000000-0005-0000-0000-000082000000}"/>
    <cellStyle name="Output 3" xfId="130" xr:uid="{00000000-0005-0000-0000-000083000000}"/>
    <cellStyle name="Output 4" xfId="131" xr:uid="{00000000-0005-0000-0000-000084000000}"/>
    <cellStyle name="Title 2" xfId="132" xr:uid="{00000000-0005-0000-0000-000085000000}"/>
    <cellStyle name="Title 3" xfId="133" xr:uid="{00000000-0005-0000-0000-000086000000}"/>
    <cellStyle name="Title 4" xfId="134" xr:uid="{00000000-0005-0000-0000-000087000000}"/>
    <cellStyle name="Total 2" xfId="135" xr:uid="{00000000-0005-0000-0000-000088000000}"/>
    <cellStyle name="Total 3" xfId="136" xr:uid="{00000000-0005-0000-0000-000089000000}"/>
    <cellStyle name="Total 4" xfId="137" xr:uid="{00000000-0005-0000-0000-00008A000000}"/>
    <cellStyle name="Warning Text 2" xfId="138" xr:uid="{00000000-0005-0000-0000-00008B000000}"/>
    <cellStyle name="Warning Text 3" xfId="139" xr:uid="{00000000-0005-0000-0000-00008C000000}"/>
    <cellStyle name="Warning Text 4" xfId="140" xr:uid="{00000000-0005-0000-0000-00008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1043634</xdr:colOff>
      <xdr:row>13</xdr:row>
      <xdr:rowOff>0</xdr:rowOff>
    </xdr:from>
    <xdr:to>
      <xdr:col>4</xdr:col>
      <xdr:colOff>1043940</xdr:colOff>
      <xdr:row>18</xdr:row>
      <xdr:rowOff>11455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2034" y="526542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75175</xdr:rowOff>
    </xdr:from>
    <xdr:to>
      <xdr:col>4</xdr:col>
      <xdr:colOff>611904</xdr:colOff>
      <xdr:row>17</xdr:row>
      <xdr:rowOff>137116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5706355"/>
          <a:ext cx="1297704" cy="427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0</xdr:row>
      <xdr:rowOff>238125</xdr:rowOff>
    </xdr:from>
    <xdr:to>
      <xdr:col>5</xdr:col>
      <xdr:colOff>361711</xdr:colOff>
      <xdr:row>0</xdr:row>
      <xdr:rowOff>1152525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885441A-59C8-469B-94CF-473BA2A3F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9350" y="238125"/>
          <a:ext cx="3381136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K7"/>
  <sheetViews>
    <sheetView tabSelected="1" workbookViewId="0">
      <selection activeCell="C6" sqref="C6"/>
    </sheetView>
  </sheetViews>
  <sheetFormatPr defaultColWidth="8.85546875" defaultRowHeight="15"/>
  <cols>
    <col min="1" max="4" width="8.85546875" style="2"/>
    <col min="5" max="5" width="74.42578125" style="2" bestFit="1" customWidth="1"/>
    <col min="6" max="16384" width="8.85546875" style="2"/>
  </cols>
  <sheetData>
    <row r="5" spans="5:11" ht="26.25">
      <c r="E5" s="1" t="s">
        <v>1</v>
      </c>
      <c r="F5" s="1"/>
      <c r="G5" s="1"/>
      <c r="H5" s="1"/>
      <c r="I5" s="1"/>
      <c r="J5" s="1"/>
      <c r="K5" s="1"/>
    </row>
    <row r="6" spans="5:11" ht="61.5">
      <c r="E6" s="3" t="s">
        <v>0</v>
      </c>
    </row>
    <row r="7" spans="5:11" ht="92.25">
      <c r="E7" s="4">
        <v>-21071.267500000002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9"/>
  <sheetViews>
    <sheetView workbookViewId="0">
      <selection sqref="A1:H1"/>
    </sheetView>
  </sheetViews>
  <sheetFormatPr defaultColWidth="8.85546875" defaultRowHeight="22.9" customHeight="1"/>
  <cols>
    <col min="1" max="1" width="17.7109375" style="2" bestFit="1" customWidth="1"/>
    <col min="2" max="2" width="16.7109375" style="27" bestFit="1" customWidth="1"/>
    <col min="3" max="3" width="12.7109375" style="24" customWidth="1"/>
    <col min="4" max="4" width="23.7109375" style="24" bestFit="1" customWidth="1"/>
    <col min="5" max="5" width="10.7109375" style="24" bestFit="1" customWidth="1"/>
    <col min="6" max="6" width="21.5703125" style="25" bestFit="1" customWidth="1"/>
    <col min="7" max="7" width="13.5703125" style="25" customWidth="1"/>
    <col min="8" max="8" width="16.5703125" style="29" customWidth="1"/>
    <col min="9" max="16384" width="8.85546875" style="2"/>
  </cols>
  <sheetData>
    <row r="1" spans="1:8" ht="103.9" customHeight="1" thickBot="1">
      <c r="A1" s="30"/>
      <c r="B1" s="31"/>
      <c r="C1" s="31"/>
      <c r="D1" s="31"/>
      <c r="E1" s="31"/>
      <c r="F1" s="31"/>
      <c r="G1" s="31"/>
      <c r="H1" s="32"/>
    </row>
    <row r="2" spans="1:8" ht="43.9" customHeight="1" thickBot="1">
      <c r="A2" s="33" t="s">
        <v>1</v>
      </c>
      <c r="B2" s="34"/>
      <c r="C2" s="34"/>
      <c r="D2" s="34"/>
      <c r="E2" s="34"/>
      <c r="F2" s="34"/>
      <c r="G2" s="34"/>
      <c r="H2" s="5">
        <f ca="1">NOW()</f>
        <v>43231.685063078701</v>
      </c>
    </row>
    <row r="3" spans="1:8" ht="46.9" customHeight="1">
      <c r="A3" s="6" t="s">
        <v>2</v>
      </c>
      <c r="B3" s="7" t="s">
        <v>3</v>
      </c>
      <c r="C3" s="8" t="s">
        <v>4</v>
      </c>
      <c r="D3" s="9" t="s">
        <v>5</v>
      </c>
      <c r="E3" s="9"/>
      <c r="F3" s="10" t="s">
        <v>6</v>
      </c>
      <c r="G3" s="11" t="s">
        <v>7</v>
      </c>
      <c r="H3" s="12" t="s">
        <v>8</v>
      </c>
    </row>
    <row r="4" spans="1:8" ht="22.9" customHeight="1">
      <c r="A4" s="35" t="s">
        <v>9</v>
      </c>
      <c r="B4" s="13" t="s">
        <v>10</v>
      </c>
      <c r="C4" s="14"/>
      <c r="D4" s="15"/>
      <c r="E4" s="15"/>
      <c r="F4" s="16">
        <v>5205.3975</v>
      </c>
      <c r="G4" s="17"/>
      <c r="H4" s="37">
        <v>-21071.267500000002</v>
      </c>
    </row>
    <row r="5" spans="1:8" ht="22.9" customHeight="1">
      <c r="A5" s="36"/>
      <c r="B5" s="18" t="s">
        <v>11</v>
      </c>
      <c r="C5" s="19"/>
      <c r="D5" s="20"/>
      <c r="E5" s="19"/>
      <c r="F5" s="21">
        <f>SUM(F6:F9)</f>
        <v>34121.870000000003</v>
      </c>
      <c r="G5" s="21">
        <f>SUM(G6:G9)</f>
        <v>18256</v>
      </c>
      <c r="H5" s="38"/>
    </row>
    <row r="6" spans="1:8" ht="22.9" customHeight="1">
      <c r="A6" s="22" t="s">
        <v>12</v>
      </c>
      <c r="B6" s="23"/>
      <c r="G6" s="25">
        <v>18256</v>
      </c>
      <c r="H6" s="26">
        <f>G6-F6</f>
        <v>18256</v>
      </c>
    </row>
    <row r="7" spans="1:8" ht="22.9" customHeight="1">
      <c r="A7" s="2" t="s">
        <v>13</v>
      </c>
      <c r="B7" s="27" t="s">
        <v>14</v>
      </c>
      <c r="C7" s="24">
        <v>42073</v>
      </c>
      <c r="F7" s="25">
        <v>24943.46</v>
      </c>
      <c r="H7" s="28">
        <f>G7-F7+H6</f>
        <v>-6687.4599999999991</v>
      </c>
    </row>
    <row r="8" spans="1:8" ht="22.9" customHeight="1">
      <c r="A8" s="2" t="s">
        <v>13</v>
      </c>
      <c r="B8" s="27" t="s">
        <v>15</v>
      </c>
      <c r="C8" s="24">
        <v>42106</v>
      </c>
      <c r="F8" s="25">
        <v>3707.11</v>
      </c>
      <c r="H8" s="28">
        <f>G8-F8+H7</f>
        <v>-10394.57</v>
      </c>
    </row>
    <row r="9" spans="1:8" ht="22.9" customHeight="1">
      <c r="A9" s="2" t="s">
        <v>13</v>
      </c>
      <c r="B9" s="27" t="s">
        <v>16</v>
      </c>
      <c r="C9" s="24">
        <v>42132</v>
      </c>
      <c r="F9" s="25">
        <v>5471.3</v>
      </c>
      <c r="H9" s="28">
        <f>G9-F9+H8</f>
        <v>-15865.869999999999</v>
      </c>
    </row>
  </sheetData>
  <mergeCells count="4">
    <mergeCell ref="A1:H1"/>
    <mergeCell ref="A2:G2"/>
    <mergeCell ref="A4:A5"/>
    <mergeCell ref="H4:H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CoverPage</vt:lpstr>
      <vt:lpstr>Account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Mubde' ABSI</cp:lastModifiedBy>
  <dcterms:created xsi:type="dcterms:W3CDTF">2015-02-17T11:28:57Z</dcterms:created>
  <dcterms:modified xsi:type="dcterms:W3CDTF">2018-05-11T13:26:50Z</dcterms:modified>
</cp:coreProperties>
</file>