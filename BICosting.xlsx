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Bokitta Private\ERP\"/>
    </mc:Choice>
  </mc:AlternateContent>
  <xr:revisionPtr revIDLastSave="0" documentId="8_{DA66466A-5E36-4407-9070-E390AC5F4328}" xr6:coauthVersionLast="47" xr6:coauthVersionMax="47" xr10:uidLastSave="{00000000-0000-0000-0000-000000000000}"/>
  <bookViews>
    <workbookView xWindow="-15" yWindow="-15" windowWidth="28830" windowHeight="7875" activeTab="1" xr2:uid="{4C65E789-9511-4822-81EC-35401A61E3BD}"/>
  </bookViews>
  <sheets>
    <sheet name="Sheet1" sheetId="1" r:id="rId1"/>
    <sheet name="BICosting" sheetId="2" r:id="rId2"/>
  </sheets>
  <externalReferences>
    <externalReference r:id="rId3"/>
  </externalReferences>
  <definedNames>
    <definedName name="Afganistan">#REF!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24" i="2" l="1"/>
  <c r="M224" i="2"/>
  <c r="O223" i="2"/>
  <c r="M223" i="2"/>
  <c r="O222" i="2"/>
  <c r="M222" i="2"/>
  <c r="K222" i="2"/>
  <c r="O221" i="2"/>
  <c r="M221" i="2"/>
  <c r="K221" i="2"/>
  <c r="O220" i="2"/>
  <c r="M220" i="2"/>
  <c r="K220" i="2"/>
  <c r="O219" i="2"/>
  <c r="M219" i="2"/>
  <c r="K219" i="2"/>
  <c r="N215" i="2"/>
  <c r="L215" i="2"/>
  <c r="J215" i="2"/>
  <c r="K215" i="2" s="1"/>
  <c r="G215" i="2"/>
  <c r="M215" i="2" s="1"/>
  <c r="G214" i="2"/>
  <c r="O214" i="2" s="1"/>
  <c r="M213" i="2"/>
  <c r="G213" i="2"/>
  <c r="O213" i="2" s="1"/>
  <c r="O198" i="2"/>
  <c r="M198" i="2"/>
  <c r="O197" i="2"/>
  <c r="M197" i="2"/>
  <c r="O196" i="2"/>
  <c r="M196" i="2"/>
  <c r="K196" i="2"/>
  <c r="O195" i="2"/>
  <c r="M195" i="2"/>
  <c r="K195" i="2"/>
  <c r="O194" i="2"/>
  <c r="M194" i="2"/>
  <c r="K194" i="2"/>
  <c r="O193" i="2"/>
  <c r="M193" i="2"/>
  <c r="K193" i="2"/>
  <c r="O189" i="2"/>
  <c r="N189" i="2"/>
  <c r="L189" i="2"/>
  <c r="J189" i="2"/>
  <c r="G189" i="2"/>
  <c r="M189" i="2" s="1"/>
  <c r="K188" i="2"/>
  <c r="G188" i="2"/>
  <c r="O188" i="2" s="1"/>
  <c r="K187" i="2"/>
  <c r="G187" i="2"/>
  <c r="O187" i="2" s="1"/>
  <c r="O172" i="2"/>
  <c r="M172" i="2"/>
  <c r="O171" i="2"/>
  <c r="M171" i="2"/>
  <c r="O170" i="2"/>
  <c r="M170" i="2"/>
  <c r="K170" i="2"/>
  <c r="O169" i="2"/>
  <c r="M169" i="2"/>
  <c r="K169" i="2"/>
  <c r="O168" i="2"/>
  <c r="M168" i="2"/>
  <c r="K168" i="2"/>
  <c r="O167" i="2"/>
  <c r="M167" i="2"/>
  <c r="M173" i="2" s="1"/>
  <c r="K167" i="2"/>
  <c r="N163" i="2"/>
  <c r="L163" i="2"/>
  <c r="J163" i="2"/>
  <c r="G163" i="2"/>
  <c r="O163" i="2" s="1"/>
  <c r="G162" i="2"/>
  <c r="M162" i="2" s="1"/>
  <c r="G161" i="2"/>
  <c r="M161" i="2" s="1"/>
  <c r="O146" i="2"/>
  <c r="M146" i="2"/>
  <c r="O145" i="2"/>
  <c r="M145" i="2"/>
  <c r="O144" i="2"/>
  <c r="M144" i="2"/>
  <c r="K144" i="2"/>
  <c r="O143" i="2"/>
  <c r="M143" i="2"/>
  <c r="K143" i="2"/>
  <c r="O142" i="2"/>
  <c r="M142" i="2"/>
  <c r="K142" i="2"/>
  <c r="O141" i="2"/>
  <c r="O147" i="2" s="1"/>
  <c r="M141" i="2"/>
  <c r="K141" i="2"/>
  <c r="N137" i="2"/>
  <c r="M137" i="2"/>
  <c r="L137" i="2"/>
  <c r="J137" i="2"/>
  <c r="G137" i="2"/>
  <c r="G136" i="2"/>
  <c r="G135" i="2"/>
  <c r="O120" i="2"/>
  <c r="M120" i="2"/>
  <c r="O119" i="2"/>
  <c r="M119" i="2"/>
  <c r="O118" i="2"/>
  <c r="M118" i="2"/>
  <c r="K118" i="2"/>
  <c r="O117" i="2"/>
  <c r="M117" i="2"/>
  <c r="K117" i="2"/>
  <c r="O116" i="2"/>
  <c r="M116" i="2"/>
  <c r="K116" i="2"/>
  <c r="O115" i="2"/>
  <c r="M115" i="2"/>
  <c r="K115" i="2"/>
  <c r="N111" i="2"/>
  <c r="L111" i="2"/>
  <c r="K111" i="2"/>
  <c r="J111" i="2"/>
  <c r="G111" i="2"/>
  <c r="M111" i="2" s="1"/>
  <c r="G110" i="2"/>
  <c r="M110" i="2" s="1"/>
  <c r="G109" i="2"/>
  <c r="O94" i="2"/>
  <c r="M94" i="2"/>
  <c r="O93" i="2"/>
  <c r="M93" i="2"/>
  <c r="O92" i="2"/>
  <c r="M92" i="2"/>
  <c r="K92" i="2"/>
  <c r="O91" i="2"/>
  <c r="M91" i="2"/>
  <c r="K91" i="2"/>
  <c r="O90" i="2"/>
  <c r="M90" i="2"/>
  <c r="K90" i="2"/>
  <c r="O89" i="2"/>
  <c r="M89" i="2"/>
  <c r="K89" i="2"/>
  <c r="K95" i="2" s="1"/>
  <c r="N85" i="2"/>
  <c r="L85" i="2"/>
  <c r="J85" i="2"/>
  <c r="G85" i="2"/>
  <c r="M85" i="2" s="1"/>
  <c r="K84" i="2"/>
  <c r="G84" i="2"/>
  <c r="O84" i="2" s="1"/>
  <c r="M83" i="2"/>
  <c r="G83" i="2"/>
  <c r="O83" i="2" s="1"/>
  <c r="O68" i="2"/>
  <c r="M68" i="2"/>
  <c r="O67" i="2"/>
  <c r="M67" i="2"/>
  <c r="O66" i="2"/>
  <c r="M66" i="2"/>
  <c r="K66" i="2"/>
  <c r="O65" i="2"/>
  <c r="M65" i="2"/>
  <c r="K65" i="2"/>
  <c r="O64" i="2"/>
  <c r="M64" i="2"/>
  <c r="K64" i="2"/>
  <c r="O63" i="2"/>
  <c r="O69" i="2" s="1"/>
  <c r="M63" i="2"/>
  <c r="K63" i="2"/>
  <c r="N59" i="2"/>
  <c r="L59" i="2"/>
  <c r="J59" i="2"/>
  <c r="G59" i="2"/>
  <c r="K59" i="2" s="1"/>
  <c r="G58" i="2"/>
  <c r="O58" i="2" s="1"/>
  <c r="G57" i="2"/>
  <c r="O57" i="2" s="1"/>
  <c r="O42" i="2"/>
  <c r="M42" i="2"/>
  <c r="O41" i="2"/>
  <c r="M41" i="2"/>
  <c r="O40" i="2"/>
  <c r="M40" i="2"/>
  <c r="K40" i="2"/>
  <c r="O39" i="2"/>
  <c r="M39" i="2"/>
  <c r="K39" i="2"/>
  <c r="O38" i="2"/>
  <c r="M38" i="2"/>
  <c r="K38" i="2"/>
  <c r="O37" i="2"/>
  <c r="M37" i="2"/>
  <c r="K37" i="2"/>
  <c r="N33" i="2"/>
  <c r="L33" i="2"/>
  <c r="J33" i="2"/>
  <c r="G33" i="2"/>
  <c r="G32" i="2"/>
  <c r="G31" i="2"/>
  <c r="O16" i="2"/>
  <c r="M16" i="2"/>
  <c r="O15" i="2"/>
  <c r="M15" i="2"/>
  <c r="O14" i="2"/>
  <c r="M14" i="2"/>
  <c r="K14" i="2"/>
  <c r="O13" i="2"/>
  <c r="M13" i="2"/>
  <c r="K13" i="2"/>
  <c r="O12" i="2"/>
  <c r="M12" i="2"/>
  <c r="K12" i="2"/>
  <c r="O11" i="2"/>
  <c r="M11" i="2"/>
  <c r="K11" i="2"/>
  <c r="N7" i="2"/>
  <c r="M7" i="2"/>
  <c r="L7" i="2"/>
  <c r="J7" i="2"/>
  <c r="G7" i="2"/>
  <c r="G6" i="2"/>
  <c r="G5" i="2"/>
  <c r="O5" i="2" s="1"/>
  <c r="M86" i="2" l="1"/>
  <c r="O17" i="2"/>
  <c r="M43" i="2"/>
  <c r="O43" i="2"/>
  <c r="K57" i="2"/>
  <c r="K60" i="2" s="1"/>
  <c r="K73" i="2" s="1"/>
  <c r="K58" i="2"/>
  <c r="O59" i="2"/>
  <c r="K85" i="2"/>
  <c r="M95" i="2"/>
  <c r="O162" i="2"/>
  <c r="M187" i="2"/>
  <c r="M188" i="2"/>
  <c r="K189" i="2"/>
  <c r="K190" i="2" s="1"/>
  <c r="K203" i="2" s="1"/>
  <c r="K199" i="2"/>
  <c r="K214" i="2"/>
  <c r="M57" i="2"/>
  <c r="M58" i="2"/>
  <c r="K69" i="2"/>
  <c r="O95" i="2"/>
  <c r="O111" i="2"/>
  <c r="K173" i="2"/>
  <c r="K213" i="2"/>
  <c r="M214" i="2"/>
  <c r="M216" i="2" s="1"/>
  <c r="M229" i="2" s="1"/>
  <c r="O215" i="2"/>
  <c r="O216" i="2" s="1"/>
  <c r="O229" i="2" s="1"/>
  <c r="M69" i="2"/>
  <c r="K83" i="2"/>
  <c r="K86" i="2" s="1"/>
  <c r="K99" i="2" s="1"/>
  <c r="M84" i="2"/>
  <c r="O85" i="2"/>
  <c r="O86" i="2" s="1"/>
  <c r="O99" i="2" s="1"/>
  <c r="K121" i="2"/>
  <c r="M147" i="2"/>
  <c r="O161" i="2"/>
  <c r="O164" i="2" s="1"/>
  <c r="O199" i="2"/>
  <c r="O8" i="2"/>
  <c r="O21" i="2" s="1"/>
  <c r="O177" i="2"/>
  <c r="O33" i="2"/>
  <c r="K33" i="2"/>
  <c r="M6" i="2"/>
  <c r="K6" i="2"/>
  <c r="K17" i="2"/>
  <c r="O137" i="2"/>
  <c r="K137" i="2"/>
  <c r="K225" i="2"/>
  <c r="O7" i="2"/>
  <c r="K7" i="2"/>
  <c r="M17" i="2"/>
  <c r="M32" i="2"/>
  <c r="K32" i="2"/>
  <c r="O60" i="2"/>
  <c r="O73" i="2" s="1"/>
  <c r="O109" i="2"/>
  <c r="O112" i="2" s="1"/>
  <c r="M109" i="2"/>
  <c r="M112" i="2" s="1"/>
  <c r="M121" i="2"/>
  <c r="O173" i="2"/>
  <c r="M190" i="2"/>
  <c r="M203" i="2" s="1"/>
  <c r="M225" i="2"/>
  <c r="M31" i="2"/>
  <c r="K31" i="2"/>
  <c r="K34" i="2" s="1"/>
  <c r="O136" i="2"/>
  <c r="M136" i="2"/>
  <c r="K136" i="2"/>
  <c r="O31" i="2"/>
  <c r="K110" i="2"/>
  <c r="M5" i="2"/>
  <c r="K5" i="2"/>
  <c r="O32" i="2"/>
  <c r="M33" i="2"/>
  <c r="K43" i="2"/>
  <c r="M59" i="2"/>
  <c r="M60" i="2" s="1"/>
  <c r="M73" i="2" s="1"/>
  <c r="K109" i="2"/>
  <c r="K112" i="2" s="1"/>
  <c r="K125" i="2" s="1"/>
  <c r="O121" i="2"/>
  <c r="O135" i="2"/>
  <c r="M135" i="2"/>
  <c r="K135" i="2"/>
  <c r="K147" i="2"/>
  <c r="O190" i="2"/>
  <c r="O203" i="2" s="1"/>
  <c r="M199" i="2"/>
  <c r="K216" i="2"/>
  <c r="K229" i="2" s="1"/>
  <c r="O225" i="2"/>
  <c r="M163" i="2"/>
  <c r="M164" i="2" s="1"/>
  <c r="M177" i="2" s="1"/>
  <c r="K161" i="2"/>
  <c r="K162" i="2"/>
  <c r="K163" i="2"/>
  <c r="O101" i="2" l="1"/>
  <c r="O102" i="2" s="1"/>
  <c r="O103" i="2" s="1"/>
  <c r="K75" i="2"/>
  <c r="K76" i="2"/>
  <c r="K77" i="2" s="1"/>
  <c r="M99" i="2"/>
  <c r="M101" i="2" s="1"/>
  <c r="M102" i="2" s="1"/>
  <c r="M103" i="2" s="1"/>
  <c r="M138" i="2"/>
  <c r="M151" i="2" s="1"/>
  <c r="O34" i="2"/>
  <c r="O47" i="2" s="1"/>
  <c r="O50" i="2" s="1"/>
  <c r="O51" i="2" s="1"/>
  <c r="M125" i="2"/>
  <c r="M127" i="2" s="1"/>
  <c r="M128" i="2" s="1"/>
  <c r="M129" i="2" s="1"/>
  <c r="M8" i="2"/>
  <c r="M21" i="2" s="1"/>
  <c r="M179" i="2"/>
  <c r="M180" i="2"/>
  <c r="M181" i="2" s="1"/>
  <c r="M75" i="2"/>
  <c r="M76" i="2" s="1"/>
  <c r="M77" i="2" s="1"/>
  <c r="K231" i="2"/>
  <c r="K232" i="2"/>
  <c r="K233" i="2" s="1"/>
  <c r="M23" i="2"/>
  <c r="M24" i="2" s="1"/>
  <c r="M25" i="2" s="1"/>
  <c r="M231" i="2"/>
  <c r="M232" i="2" s="1"/>
  <c r="M233" i="2" s="1"/>
  <c r="M205" i="2"/>
  <c r="M206" i="2"/>
  <c r="M207" i="2" s="1"/>
  <c r="O125" i="2"/>
  <c r="O179" i="2"/>
  <c r="O180" i="2"/>
  <c r="O181" i="2" s="1"/>
  <c r="K164" i="2"/>
  <c r="K177" i="2" s="1"/>
  <c r="K138" i="2"/>
  <c r="K151" i="2" s="1"/>
  <c r="K127" i="2"/>
  <c r="K128" i="2"/>
  <c r="K129" i="2" s="1"/>
  <c r="M34" i="2"/>
  <c r="M47" i="2" s="1"/>
  <c r="O75" i="2"/>
  <c r="O76" i="2" s="1"/>
  <c r="O77" i="2" s="1"/>
  <c r="O231" i="2"/>
  <c r="O232" i="2"/>
  <c r="O233" i="2" s="1"/>
  <c r="O23" i="2"/>
  <c r="O24" i="2" s="1"/>
  <c r="O25" i="2" s="1"/>
  <c r="O205" i="2"/>
  <c r="O206" i="2" s="1"/>
  <c r="O207" i="2" s="1"/>
  <c r="M153" i="2"/>
  <c r="M154" i="2" s="1"/>
  <c r="M155" i="2" s="1"/>
  <c r="K101" i="2"/>
  <c r="K102" i="2"/>
  <c r="K103" i="2" s="1"/>
  <c r="K47" i="2"/>
  <c r="O138" i="2"/>
  <c r="O151" i="2" s="1"/>
  <c r="K8" i="2"/>
  <c r="K21" i="2" s="1"/>
  <c r="O49" i="2"/>
  <c r="K205" i="2"/>
  <c r="K206" i="2" s="1"/>
  <c r="K207" i="2" s="1"/>
  <c r="K49" i="2" l="1"/>
  <c r="K50" i="2" s="1"/>
  <c r="K51" i="2" s="1"/>
  <c r="O153" i="2"/>
  <c r="O154" i="2" s="1"/>
  <c r="O155" i="2" s="1"/>
  <c r="M49" i="2"/>
  <c r="M50" i="2"/>
  <c r="M51" i="2" s="1"/>
  <c r="K179" i="2"/>
  <c r="K180" i="2" s="1"/>
  <c r="K181" i="2" s="1"/>
  <c r="K23" i="2"/>
  <c r="K24" i="2" s="1"/>
  <c r="K25" i="2" s="1"/>
  <c r="K153" i="2"/>
  <c r="K154" i="2" s="1"/>
  <c r="K155" i="2" s="1"/>
  <c r="O127" i="2"/>
  <c r="O128" i="2"/>
  <c r="O129" i="2" s="1"/>
</calcChain>
</file>

<file path=xl/sharedStrings.xml><?xml version="1.0" encoding="utf-8"?>
<sst xmlns="http://schemas.openxmlformats.org/spreadsheetml/2006/main" count="558" uniqueCount="64">
  <si>
    <t>COST SHEET</t>
  </si>
  <si>
    <t>STYLE</t>
  </si>
  <si>
    <t>Voila</t>
  </si>
  <si>
    <t xml:space="preserve">COSTING DATE </t>
  </si>
  <si>
    <t>Plain Dyed</t>
  </si>
  <si>
    <t>Rotary</t>
  </si>
  <si>
    <t>Ink Jet</t>
  </si>
  <si>
    <t>Description</t>
  </si>
  <si>
    <t>Specs</t>
  </si>
  <si>
    <t xml:space="preserve">Colour </t>
  </si>
  <si>
    <t>Extra Allowance</t>
  </si>
  <si>
    <t>Consumption</t>
  </si>
  <si>
    <t>UOM</t>
  </si>
  <si>
    <t xml:space="preserve">Width/Size </t>
  </si>
  <si>
    <t xml:space="preserve">Unit Cost </t>
  </si>
  <si>
    <t xml:space="preserve">Amount </t>
  </si>
  <si>
    <t>Unit Cost</t>
  </si>
  <si>
    <t>Shell Fabric</t>
  </si>
  <si>
    <t>100% Polyester-  Crinkled Chiffon</t>
  </si>
  <si>
    <t>55 gsm</t>
  </si>
  <si>
    <t>mtrs</t>
  </si>
  <si>
    <t>51.5"</t>
  </si>
  <si>
    <t>Lining Fabric</t>
  </si>
  <si>
    <t xml:space="preserve">100% Cotton Voile Solid </t>
  </si>
  <si>
    <t>80x80/84x78</t>
  </si>
  <si>
    <t>52"</t>
  </si>
  <si>
    <t xml:space="preserve">Jersey inner </t>
  </si>
  <si>
    <t>Single jersey (140-150gsm) solid</t>
  </si>
  <si>
    <t>95%Cotton5% Elastin-</t>
  </si>
  <si>
    <t xml:space="preserve">Kgs </t>
  </si>
  <si>
    <t>66"</t>
  </si>
  <si>
    <t>Sub - Total Fabric</t>
  </si>
  <si>
    <t>TRIMS</t>
  </si>
  <si>
    <t>Thread</t>
  </si>
  <si>
    <t>Epic T18(ppc/55/45)</t>
  </si>
  <si>
    <t>Elastic</t>
  </si>
  <si>
    <t xml:space="preserve">Woven elastic 1/4" </t>
  </si>
  <si>
    <t xml:space="preserve">White/Black </t>
  </si>
  <si>
    <t xml:space="preserve">mtrs </t>
  </si>
  <si>
    <t xml:space="preserve">Main label </t>
  </si>
  <si>
    <t xml:space="preserve">Woven label - 2 pcs </t>
  </si>
  <si>
    <t>pcs</t>
  </si>
  <si>
    <t>Washcarelabel</t>
  </si>
  <si>
    <t xml:space="preserve">Taffeta label as per sample </t>
  </si>
  <si>
    <t>pc</t>
  </si>
  <si>
    <t>Fusing</t>
  </si>
  <si>
    <t>Mtrs</t>
  </si>
  <si>
    <t>TASSEL/POMPOM</t>
  </si>
  <si>
    <t>Sub - Total Trims</t>
  </si>
  <si>
    <t>others</t>
  </si>
  <si>
    <t>CM</t>
  </si>
  <si>
    <t>Sub - Total Manufacturing</t>
  </si>
  <si>
    <t>MARK-UP</t>
  </si>
  <si>
    <t>Total inr</t>
  </si>
  <si>
    <t>Total USD</t>
  </si>
  <si>
    <t>VoilaMaxi</t>
  </si>
  <si>
    <t>Chic</t>
  </si>
  <si>
    <t>ChicMaxi</t>
  </si>
  <si>
    <t>Vogue</t>
  </si>
  <si>
    <t>Carre'</t>
  </si>
  <si>
    <t>g</t>
  </si>
  <si>
    <t>Posh</t>
  </si>
  <si>
    <t>Freestyle B</t>
  </si>
  <si>
    <t>Freestyle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</si>
</sst>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Font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/>
    <xf numFmtId="9" fontId="0" fillId="0" borderId="0" xfId="0" applyNumberFormat="1"/>
    <xf numFmtId="2" fontId="0" fillId="0" borderId="0" xfId="0" applyNumberFormat="1"/>
    <xf numFmtId="0" fontId="6" fillId="2" borderId="0" xfId="1" applyFont="1"/>
    <xf numFmtId="0" fontId="7" fillId="0" borderId="0" xfId="0" applyFont="1"/>
    <xf numFmtId="0" fontId="8" fillId="3" borderId="0" xfId="2" applyFont="1"/>
    <xf numFmtId="0" fontId="6" fillId="3" borderId="0" xfId="2" applyFont="1"/>
    <xf numFmtId="0" fontId="1" fillId="3" borderId="0" xfId="2" applyFont="1"/>
  </cellXfs>
  <cellStyles count="3">
    <cellStyle name="Bad 2" xfId="2" xr:uid="{8C17BE31-37C4-4B91-BF0B-DB3A0DE338C3}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m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toneAsIs"/>
      <sheetName val="Product Identification"/>
      <sheetName val="ProductsCosting"/>
      <sheetName val="Consumption"/>
      <sheetName val="shCost"/>
      <sheetName val="IDCost"/>
      <sheetName val="Ajantha"/>
      <sheetName val="BICost"/>
      <sheetName val="Sheet3"/>
      <sheetName val="pmCost"/>
      <sheetName val="sbCost"/>
      <sheetName val="BICostBD"/>
      <sheetName val="BICosting"/>
      <sheetName val="BIPackage"/>
      <sheetName val="Shahi-costing"/>
      <sheetName val="IDOcost"/>
      <sheetName val="CKFCost"/>
      <sheetName val="YDCost"/>
      <sheetName val="CKFOC"/>
      <sheetName val="Vastrnami"/>
      <sheetName val="LynxCost"/>
      <sheetName val="Sheet2"/>
      <sheetName val="shCost180430"/>
      <sheetName val="GECost"/>
      <sheetName val="GE-costing"/>
      <sheetName val="sb-costing"/>
      <sheetName val="kcCost"/>
      <sheetName val="kcpo2"/>
      <sheetName val="KCPO3"/>
      <sheetName val="tiCost"/>
      <sheetName val="vlCost"/>
      <sheetName val="RNT M2"/>
      <sheetName val="RNT M6 "/>
      <sheetName val="RNT M12"/>
      <sheetName val="RNT M12m "/>
      <sheetName val="VLPO1"/>
      <sheetName val="VLPO2"/>
      <sheetName val="VL Revise 0417"/>
      <sheetName val="PrCost"/>
      <sheetName val="Current"/>
      <sheetName val="shCostBulk"/>
      <sheetName val="SBCosting"/>
      <sheetName val="shVoila"/>
      <sheetName val="PO7"/>
      <sheetName val="final costs"/>
      <sheetName val="PantoneSorted"/>
      <sheetName val="PANTONE® F+H cotton TCX"/>
      <sheetName val="PantoneNames"/>
      <sheetName val="Taupes"/>
      <sheetName val="All"/>
      <sheetName val="PantoneSortedByRGB"/>
      <sheetName val="UsedColors"/>
      <sheetName val="beige"/>
      <sheetName val="BokittaColors"/>
      <sheetName val="Dashboard"/>
      <sheetName val="210 new colors"/>
      <sheetName val="2017"/>
      <sheetName val="BokittaColorsMin"/>
      <sheetName val="BokittaPal"/>
      <sheetName val="ASE"/>
      <sheetName val="2016 Colors"/>
      <sheetName val="2017 Plains"/>
    </sheetNames>
    <sheetDataSet>
      <sheetData sheetId="0"/>
      <sheetData sheetId="1"/>
      <sheetData sheetId="2"/>
      <sheetData sheetId="3">
        <row r="3">
          <cell r="D3">
            <v>1.2</v>
          </cell>
          <cell r="E3">
            <v>0.6</v>
          </cell>
          <cell r="F3">
            <v>60</v>
          </cell>
        </row>
        <row r="4">
          <cell r="D4">
            <v>1.4</v>
          </cell>
          <cell r="E4">
            <v>0.7</v>
          </cell>
          <cell r="F4">
            <v>60</v>
          </cell>
        </row>
        <row r="5">
          <cell r="D5">
            <v>1.42</v>
          </cell>
          <cell r="E5">
            <v>0.6</v>
          </cell>
          <cell r="F5">
            <v>60</v>
          </cell>
        </row>
        <row r="6">
          <cell r="D6">
            <v>1.53</v>
          </cell>
          <cell r="E6">
            <v>0.8</v>
          </cell>
          <cell r="F6">
            <v>60</v>
          </cell>
        </row>
        <row r="9">
          <cell r="D9">
            <v>1.1000000000000001</v>
          </cell>
          <cell r="E9">
            <v>0.35</v>
          </cell>
          <cell r="F9">
            <v>60</v>
          </cell>
        </row>
        <row r="10">
          <cell r="D10">
            <v>1.2</v>
          </cell>
          <cell r="E10">
            <v>0.35</v>
          </cell>
          <cell r="F10">
            <v>90</v>
          </cell>
        </row>
        <row r="12">
          <cell r="D12">
            <v>1</v>
          </cell>
          <cell r="F12">
            <v>150</v>
          </cell>
        </row>
        <row r="13">
          <cell r="D13">
            <v>0.8</v>
          </cell>
          <cell r="E13">
            <v>0.35</v>
          </cell>
          <cell r="F13">
            <v>50</v>
          </cell>
        </row>
        <row r="14">
          <cell r="D14">
            <v>1.3</v>
          </cell>
          <cell r="E14">
            <v>0.35</v>
          </cell>
          <cell r="F14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906E-7964-40F5-A89B-5B1F7B0778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13D7-73D1-456D-9263-87228DF8475B}">
  <dimension ref="A1:O233"/>
  <sheetViews>
    <sheetView tabSelected="1" topLeftCell="A178" zoomScaleNormal="100" workbookViewId="0">
      <selection activeCell="G216" sqref="G216"/>
    </sheetView>
  </sheetViews>
  <sheetFormatPr defaultRowHeight="15" x14ac:dyDescent="0.25"/>
  <cols>
    <col min="1" max="1" width="18.28515625" bestFit="1" customWidth="1"/>
    <col min="2" max="2" width="10.42578125" bestFit="1" customWidth="1"/>
    <col min="3" max="3" width="31.140625" bestFit="1" customWidth="1"/>
    <col min="4" max="4" width="18.28515625" customWidth="1"/>
    <col min="5" max="5" width="12.28515625" bestFit="1" customWidth="1"/>
    <col min="6" max="6" width="12.5703125" bestFit="1" customWidth="1"/>
    <col min="7" max="7" width="16.140625" bestFit="1" customWidth="1"/>
    <col min="9" max="9" width="14" bestFit="1" customWidth="1"/>
    <col min="10" max="10" width="7" bestFit="1" customWidth="1"/>
    <col min="11" max="11" width="12" bestFit="1" customWidth="1"/>
    <col min="12" max="12" width="7" bestFit="1" customWidth="1"/>
    <col min="13" max="13" width="12" bestFit="1" customWidth="1"/>
    <col min="14" max="14" width="7" bestFit="1" customWidth="1"/>
    <col min="15" max="15" width="12" bestFit="1" customWidth="1"/>
  </cols>
  <sheetData>
    <row r="1" spans="1:15" ht="23.25" x14ac:dyDescent="0.35">
      <c r="A1" s="1" t="s">
        <v>0</v>
      </c>
    </row>
    <row r="2" spans="1:15" ht="21" x14ac:dyDescent="0.35">
      <c r="A2" t="s">
        <v>1</v>
      </c>
      <c r="B2" s="2" t="s">
        <v>2</v>
      </c>
    </row>
    <row r="3" spans="1:15" x14ac:dyDescent="0.25">
      <c r="A3" t="s">
        <v>3</v>
      </c>
      <c r="B3" s="3">
        <v>44644</v>
      </c>
      <c r="J3" t="s">
        <v>4</v>
      </c>
      <c r="L3" t="s">
        <v>5</v>
      </c>
      <c r="N3" t="s">
        <v>6</v>
      </c>
    </row>
    <row r="4" spans="1:15" ht="37.5" x14ac:dyDescent="0.3">
      <c r="A4" s="4" t="s">
        <v>7</v>
      </c>
      <c r="B4" s="4"/>
      <c r="C4" s="4" t="s">
        <v>7</v>
      </c>
      <c r="D4" s="4" t="s">
        <v>8</v>
      </c>
      <c r="E4" s="4" t="s">
        <v>9</v>
      </c>
      <c r="F4" s="4" t="s">
        <v>10</v>
      </c>
      <c r="G4" s="5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14</v>
      </c>
      <c r="M4" s="4" t="s">
        <v>15</v>
      </c>
      <c r="N4" s="4" t="s">
        <v>16</v>
      </c>
      <c r="O4" s="4" t="s">
        <v>15</v>
      </c>
    </row>
    <row r="5" spans="1:15" x14ac:dyDescent="0.25">
      <c r="A5" t="s">
        <v>17</v>
      </c>
      <c r="C5" t="s">
        <v>18</v>
      </c>
      <c r="D5" t="s">
        <v>19</v>
      </c>
      <c r="F5" s="6">
        <v>0.02</v>
      </c>
      <c r="G5" s="7">
        <f>[1]Consumption!$D$3*(1+F109)</f>
        <v>1.224</v>
      </c>
      <c r="H5" t="s">
        <v>20</v>
      </c>
      <c r="I5" t="s">
        <v>21</v>
      </c>
      <c r="J5">
        <v>56</v>
      </c>
      <c r="K5">
        <f>$G5*J5</f>
        <v>68.543999999999997</v>
      </c>
      <c r="L5">
        <v>56</v>
      </c>
      <c r="M5">
        <f>$G5*L5</f>
        <v>68.543999999999997</v>
      </c>
      <c r="N5">
        <v>123</v>
      </c>
      <c r="O5">
        <f>$G5*N5</f>
        <v>150.55199999999999</v>
      </c>
    </row>
    <row r="6" spans="1:15" x14ac:dyDescent="0.25">
      <c r="A6" t="s">
        <v>22</v>
      </c>
      <c r="C6" t="s">
        <v>23</v>
      </c>
      <c r="D6" t="s">
        <v>24</v>
      </c>
      <c r="F6" s="6">
        <v>0.02</v>
      </c>
      <c r="G6" s="7">
        <f>[1]Consumption!$E$3*(1+F110)</f>
        <v>0.61199999999999999</v>
      </c>
      <c r="H6" t="s">
        <v>20</v>
      </c>
      <c r="I6" t="s">
        <v>25</v>
      </c>
      <c r="J6">
        <v>70</v>
      </c>
      <c r="K6">
        <f t="shared" ref="K6:O7" si="0">$G6*J6</f>
        <v>42.839999999999996</v>
      </c>
      <c r="L6">
        <v>70</v>
      </c>
      <c r="M6">
        <f>G6*L6</f>
        <v>42.839999999999996</v>
      </c>
      <c r="N6">
        <v>70</v>
      </c>
      <c r="O6">
        <v>0</v>
      </c>
    </row>
    <row r="7" spans="1:15" x14ac:dyDescent="0.25">
      <c r="A7" t="s">
        <v>26</v>
      </c>
      <c r="C7" t="s">
        <v>27</v>
      </c>
      <c r="D7" t="s">
        <v>28</v>
      </c>
      <c r="F7" s="6">
        <v>0.02</v>
      </c>
      <c r="G7" s="7">
        <f>[1]Consumption!$F$3*(1+F111)</f>
        <v>61.2</v>
      </c>
      <c r="H7" t="s">
        <v>29</v>
      </c>
      <c r="I7" t="s">
        <v>30</v>
      </c>
      <c r="J7">
        <f>615/1000</f>
        <v>0.61499999999999999</v>
      </c>
      <c r="K7">
        <f t="shared" si="0"/>
        <v>37.637999999999998</v>
      </c>
      <c r="L7">
        <f>615/1000</f>
        <v>0.61499999999999999</v>
      </c>
      <c r="M7">
        <f t="shared" si="0"/>
        <v>37.637999999999998</v>
      </c>
      <c r="N7">
        <f>615/1000</f>
        <v>0.61499999999999999</v>
      </c>
      <c r="O7">
        <f t="shared" si="0"/>
        <v>37.637999999999998</v>
      </c>
    </row>
    <row r="8" spans="1:15" ht="18.75" x14ac:dyDescent="0.3">
      <c r="A8" s="8" t="s">
        <v>31</v>
      </c>
      <c r="B8" s="8"/>
      <c r="C8" s="8"/>
      <c r="D8" s="8"/>
      <c r="E8" s="8"/>
      <c r="F8" s="8"/>
      <c r="G8" s="8"/>
      <c r="H8" s="8"/>
      <c r="I8" s="8"/>
      <c r="J8" s="8"/>
      <c r="K8" s="8">
        <f>SUM(K5:K7)</f>
        <v>149.02199999999999</v>
      </c>
      <c r="L8" s="8"/>
      <c r="M8" s="8">
        <f>SUM(M5:M7)</f>
        <v>149.02199999999999</v>
      </c>
      <c r="N8" s="8"/>
      <c r="O8" s="8">
        <f>SUM(O5:O7)</f>
        <v>188.19</v>
      </c>
    </row>
    <row r="10" spans="1:15" ht="21" x14ac:dyDescent="0.35">
      <c r="A10" s="9" t="s">
        <v>32</v>
      </c>
    </row>
    <row r="11" spans="1:15" x14ac:dyDescent="0.25">
      <c r="A11" t="s">
        <v>33</v>
      </c>
      <c r="C11" t="s">
        <v>34</v>
      </c>
      <c r="G11">
        <v>200</v>
      </c>
      <c r="H11" t="s">
        <v>20</v>
      </c>
      <c r="J11">
        <v>3.1800000000000002E-2</v>
      </c>
      <c r="K11">
        <f t="shared" ref="K11:O16" si="1">$G11*J11</f>
        <v>6.36</v>
      </c>
      <c r="L11">
        <v>3.1800000000000002E-2</v>
      </c>
      <c r="M11">
        <f t="shared" si="1"/>
        <v>6.36</v>
      </c>
      <c r="N11">
        <v>3.1800000000000002E-2</v>
      </c>
      <c r="O11">
        <f t="shared" si="1"/>
        <v>6.36</v>
      </c>
    </row>
    <row r="12" spans="1:15" x14ac:dyDescent="0.25">
      <c r="A12" t="s">
        <v>35</v>
      </c>
      <c r="C12" t="s">
        <v>36</v>
      </c>
      <c r="E12" t="s">
        <v>37</v>
      </c>
      <c r="G12">
        <v>0.12</v>
      </c>
      <c r="H12" t="s">
        <v>38</v>
      </c>
      <c r="J12">
        <v>1.4</v>
      </c>
      <c r="K12">
        <f t="shared" si="1"/>
        <v>0.16799999999999998</v>
      </c>
      <c r="L12">
        <v>1.4</v>
      </c>
      <c r="M12">
        <f t="shared" si="1"/>
        <v>0.16799999999999998</v>
      </c>
      <c r="N12">
        <v>1.4</v>
      </c>
      <c r="O12">
        <f t="shared" si="1"/>
        <v>0.16799999999999998</v>
      </c>
    </row>
    <row r="13" spans="1:15" x14ac:dyDescent="0.25">
      <c r="A13" t="s">
        <v>39</v>
      </c>
      <c r="C13" t="s">
        <v>40</v>
      </c>
      <c r="G13">
        <v>1</v>
      </c>
      <c r="H13" t="s">
        <v>41</v>
      </c>
      <c r="J13">
        <v>1</v>
      </c>
      <c r="K13">
        <f t="shared" si="1"/>
        <v>1</v>
      </c>
      <c r="L13">
        <v>1</v>
      </c>
      <c r="M13">
        <f t="shared" si="1"/>
        <v>1</v>
      </c>
      <c r="N13">
        <v>1</v>
      </c>
      <c r="O13">
        <f t="shared" si="1"/>
        <v>1</v>
      </c>
    </row>
    <row r="14" spans="1:15" x14ac:dyDescent="0.25">
      <c r="A14" t="s">
        <v>42</v>
      </c>
      <c r="C14" t="s">
        <v>43</v>
      </c>
      <c r="G14">
        <v>1</v>
      </c>
      <c r="H14" t="s">
        <v>44</v>
      </c>
      <c r="J14">
        <v>0.85</v>
      </c>
      <c r="K14">
        <f t="shared" si="1"/>
        <v>0.85</v>
      </c>
      <c r="L14">
        <v>0.85</v>
      </c>
      <c r="M14">
        <f t="shared" si="1"/>
        <v>0.85</v>
      </c>
      <c r="N14">
        <v>0.85</v>
      </c>
      <c r="O14">
        <f t="shared" si="1"/>
        <v>0.85</v>
      </c>
    </row>
    <row r="15" spans="1:15" x14ac:dyDescent="0.25">
      <c r="A15" t="s">
        <v>45</v>
      </c>
      <c r="G15">
        <v>0</v>
      </c>
      <c r="H15" t="s">
        <v>46</v>
      </c>
      <c r="J15">
        <v>0</v>
      </c>
      <c r="K15">
        <v>0</v>
      </c>
      <c r="L15">
        <v>0</v>
      </c>
      <c r="M15">
        <f t="shared" si="1"/>
        <v>0</v>
      </c>
      <c r="N15">
        <v>0</v>
      </c>
      <c r="O15">
        <f t="shared" si="1"/>
        <v>0</v>
      </c>
    </row>
    <row r="16" spans="1:15" x14ac:dyDescent="0.25">
      <c r="A16" t="s">
        <v>47</v>
      </c>
      <c r="G16">
        <v>1</v>
      </c>
      <c r="H16" t="s">
        <v>41</v>
      </c>
      <c r="J16">
        <v>0</v>
      </c>
      <c r="K16">
        <v>0</v>
      </c>
      <c r="L16">
        <v>0</v>
      </c>
      <c r="M16">
        <f t="shared" si="1"/>
        <v>0</v>
      </c>
      <c r="N16">
        <v>0</v>
      </c>
      <c r="O16">
        <f t="shared" si="1"/>
        <v>0</v>
      </c>
    </row>
    <row r="17" spans="1:15" ht="18.75" x14ac:dyDescent="0.3">
      <c r="A17" s="8" t="s">
        <v>48</v>
      </c>
      <c r="B17" s="8"/>
      <c r="C17" s="8"/>
      <c r="D17" s="8"/>
      <c r="E17" s="8"/>
      <c r="F17" s="8"/>
      <c r="G17" s="8"/>
      <c r="H17" s="8"/>
      <c r="I17" s="8"/>
      <c r="J17" s="8"/>
      <c r="K17" s="8">
        <f>SUM(K11:K16)</f>
        <v>8.3780000000000001</v>
      </c>
      <c r="L17" s="8"/>
      <c r="M17" s="8">
        <f>SUM(M11:M16)</f>
        <v>8.3780000000000001</v>
      </c>
      <c r="N17" s="8"/>
      <c r="O17" s="8">
        <f>SUM(O11:O16)</f>
        <v>8.3780000000000001</v>
      </c>
    </row>
    <row r="18" spans="1:15" ht="18.75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t="s">
        <v>49</v>
      </c>
      <c r="K19">
        <v>0</v>
      </c>
      <c r="M19">
        <v>0</v>
      </c>
      <c r="O19">
        <v>0</v>
      </c>
    </row>
    <row r="20" spans="1:15" x14ac:dyDescent="0.25">
      <c r="A20" t="s">
        <v>50</v>
      </c>
      <c r="K20">
        <v>72</v>
      </c>
      <c r="M20">
        <v>72</v>
      </c>
      <c r="O20">
        <v>72</v>
      </c>
    </row>
    <row r="21" spans="1:15" ht="18.75" x14ac:dyDescent="0.3">
      <c r="A21" s="8" t="s">
        <v>51</v>
      </c>
      <c r="B21" s="8"/>
      <c r="C21" s="8"/>
      <c r="D21" s="8"/>
      <c r="E21" s="8"/>
      <c r="F21" s="8"/>
      <c r="G21" s="8"/>
      <c r="H21" s="8"/>
      <c r="I21" s="8"/>
      <c r="J21" s="8"/>
      <c r="K21" s="8">
        <f>K8+K17+K20</f>
        <v>229.39999999999998</v>
      </c>
      <c r="L21" s="8"/>
      <c r="M21" s="8">
        <f>M8+M17+M20</f>
        <v>229.39999999999998</v>
      </c>
      <c r="N21" s="8"/>
      <c r="O21" s="8">
        <f>O8+O17+O20</f>
        <v>268.56799999999998</v>
      </c>
    </row>
    <row r="22" spans="1:15" ht="18.75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t="s">
        <v>52</v>
      </c>
      <c r="J23">
        <v>0.1</v>
      </c>
      <c r="K23">
        <f>K21*J23</f>
        <v>22.939999999999998</v>
      </c>
      <c r="L23">
        <v>0.1</v>
      </c>
      <c r="M23">
        <f>M21*L23</f>
        <v>22.939999999999998</v>
      </c>
      <c r="N23">
        <v>0.1</v>
      </c>
      <c r="O23">
        <f>O21*N23</f>
        <v>26.8568</v>
      </c>
    </row>
    <row r="24" spans="1:15" x14ac:dyDescent="0.25">
      <c r="A24" t="s">
        <v>53</v>
      </c>
      <c r="K24">
        <f>SUM(K21:K23)</f>
        <v>252.33999999999997</v>
      </c>
      <c r="M24">
        <f>SUM(M21:M23)</f>
        <v>252.33999999999997</v>
      </c>
      <c r="O24">
        <f>SUM(O21:O23)</f>
        <v>295.4248</v>
      </c>
    </row>
    <row r="25" spans="1:15" ht="21" x14ac:dyDescent="0.35">
      <c r="A25" s="10" t="s">
        <v>54</v>
      </c>
      <c r="B25" s="10"/>
      <c r="C25" s="10"/>
      <c r="D25" s="10"/>
      <c r="E25" s="10"/>
      <c r="F25" s="10"/>
      <c r="G25" s="10"/>
      <c r="H25" s="10"/>
      <c r="I25" s="10"/>
      <c r="J25" s="10">
        <v>72</v>
      </c>
      <c r="K25" s="10">
        <f>K24/J25</f>
        <v>3.5047222222222221</v>
      </c>
      <c r="L25" s="10">
        <v>72</v>
      </c>
      <c r="M25" s="10">
        <f>M24/L25</f>
        <v>3.5047222222222221</v>
      </c>
      <c r="N25" s="10">
        <v>72</v>
      </c>
      <c r="O25" s="10">
        <f>O24/N25</f>
        <v>4.1031222222222219</v>
      </c>
    </row>
    <row r="27" spans="1:15" ht="23.25" x14ac:dyDescent="0.35">
      <c r="A27" s="1" t="s">
        <v>0</v>
      </c>
    </row>
    <row r="28" spans="1:15" ht="21" x14ac:dyDescent="0.35">
      <c r="A28" t="s">
        <v>1</v>
      </c>
      <c r="B28" s="2" t="s">
        <v>55</v>
      </c>
    </row>
    <row r="29" spans="1:15" x14ac:dyDescent="0.25">
      <c r="A29" t="s">
        <v>3</v>
      </c>
      <c r="B29" s="3">
        <v>44644</v>
      </c>
      <c r="J29" t="s">
        <v>4</v>
      </c>
      <c r="L29" t="s">
        <v>5</v>
      </c>
      <c r="N29" t="s">
        <v>6</v>
      </c>
    </row>
    <row r="30" spans="1:15" ht="37.5" x14ac:dyDescent="0.3">
      <c r="A30" s="4" t="s">
        <v>7</v>
      </c>
      <c r="B30" s="4"/>
      <c r="C30" s="4" t="s">
        <v>7</v>
      </c>
      <c r="D30" s="4" t="s">
        <v>8</v>
      </c>
      <c r="E30" s="4" t="s">
        <v>9</v>
      </c>
      <c r="F30" s="4" t="s">
        <v>10</v>
      </c>
      <c r="G30" s="5" t="s">
        <v>11</v>
      </c>
      <c r="H30" s="4" t="s">
        <v>12</v>
      </c>
      <c r="I30" s="4" t="s">
        <v>13</v>
      </c>
      <c r="J30" s="4" t="s">
        <v>14</v>
      </c>
      <c r="K30" s="4" t="s">
        <v>15</v>
      </c>
      <c r="L30" s="4" t="s">
        <v>14</v>
      </c>
      <c r="M30" s="4" t="s">
        <v>15</v>
      </c>
      <c r="N30" s="4" t="s">
        <v>16</v>
      </c>
      <c r="O30" s="4" t="s">
        <v>15</v>
      </c>
    </row>
    <row r="31" spans="1:15" x14ac:dyDescent="0.25">
      <c r="A31" t="s">
        <v>17</v>
      </c>
      <c r="C31" t="s">
        <v>18</v>
      </c>
      <c r="D31" t="s">
        <v>19</v>
      </c>
      <c r="F31" s="6">
        <v>0.02</v>
      </c>
      <c r="G31" s="7">
        <f>[1]Consumption!$D$4*(1+F135)</f>
        <v>1.4279999999999999</v>
      </c>
      <c r="H31" t="s">
        <v>20</v>
      </c>
      <c r="I31" t="s">
        <v>21</v>
      </c>
      <c r="J31">
        <v>56</v>
      </c>
      <c r="K31">
        <f>$G31*J31</f>
        <v>79.967999999999989</v>
      </c>
      <c r="L31">
        <v>56</v>
      </c>
      <c r="M31">
        <f>$G31*L31</f>
        <v>79.967999999999989</v>
      </c>
      <c r="N31">
        <v>123</v>
      </c>
      <c r="O31">
        <f>$G31*N31</f>
        <v>175.64400000000001</v>
      </c>
    </row>
    <row r="32" spans="1:15" x14ac:dyDescent="0.25">
      <c r="A32" t="s">
        <v>22</v>
      </c>
      <c r="C32" t="s">
        <v>23</v>
      </c>
      <c r="D32" t="s">
        <v>24</v>
      </c>
      <c r="F32" s="6">
        <v>0.02</v>
      </c>
      <c r="G32" s="7">
        <f>[1]Consumption!$E$4*(1+F136)</f>
        <v>0.71399999999999997</v>
      </c>
      <c r="H32" t="s">
        <v>20</v>
      </c>
      <c r="I32" t="s">
        <v>25</v>
      </c>
      <c r="J32">
        <v>70</v>
      </c>
      <c r="K32">
        <f t="shared" ref="K32:O33" si="2">$G32*J32</f>
        <v>49.98</v>
      </c>
      <c r="L32">
        <v>70</v>
      </c>
      <c r="M32">
        <f t="shared" si="2"/>
        <v>49.98</v>
      </c>
      <c r="N32">
        <v>70</v>
      </c>
      <c r="O32">
        <f t="shared" si="2"/>
        <v>49.98</v>
      </c>
    </row>
    <row r="33" spans="1:15" x14ac:dyDescent="0.25">
      <c r="A33" t="s">
        <v>26</v>
      </c>
      <c r="C33" t="s">
        <v>27</v>
      </c>
      <c r="D33" t="s">
        <v>28</v>
      </c>
      <c r="F33" s="6">
        <v>0.02</v>
      </c>
      <c r="G33" s="7">
        <f>[1]Consumption!$F$4*(1+F137)</f>
        <v>61.2</v>
      </c>
      <c r="H33" t="s">
        <v>29</v>
      </c>
      <c r="I33" t="s">
        <v>30</v>
      </c>
      <c r="J33">
        <f>615/1000</f>
        <v>0.61499999999999999</v>
      </c>
      <c r="K33">
        <f t="shared" si="2"/>
        <v>37.637999999999998</v>
      </c>
      <c r="L33">
        <f>615/1000</f>
        <v>0.61499999999999999</v>
      </c>
      <c r="M33">
        <f t="shared" si="2"/>
        <v>37.637999999999998</v>
      </c>
      <c r="N33">
        <f>615/1000</f>
        <v>0.61499999999999999</v>
      </c>
      <c r="O33">
        <f t="shared" si="2"/>
        <v>37.637999999999998</v>
      </c>
    </row>
    <row r="34" spans="1:15" ht="18.75" x14ac:dyDescent="0.3">
      <c r="A34" s="8" t="s">
        <v>31</v>
      </c>
      <c r="B34" s="8"/>
      <c r="C34" s="8"/>
      <c r="D34" s="8"/>
      <c r="E34" s="8"/>
      <c r="F34" s="8"/>
      <c r="G34" s="8"/>
      <c r="H34" s="8"/>
      <c r="I34" s="8"/>
      <c r="J34" s="8"/>
      <c r="K34" s="8">
        <f>SUM(K31:K33)</f>
        <v>167.58599999999998</v>
      </c>
      <c r="L34" s="8"/>
      <c r="M34" s="8">
        <f>SUM(M31:M33)</f>
        <v>167.58599999999998</v>
      </c>
      <c r="N34" s="8"/>
      <c r="O34" s="8">
        <f>SUM(O31:O33)</f>
        <v>263.262</v>
      </c>
    </row>
    <row r="36" spans="1:15" ht="21" x14ac:dyDescent="0.35">
      <c r="A36" s="9" t="s">
        <v>32</v>
      </c>
    </row>
    <row r="37" spans="1:15" x14ac:dyDescent="0.25">
      <c r="A37" t="s">
        <v>33</v>
      </c>
      <c r="C37" t="s">
        <v>34</v>
      </c>
      <c r="G37">
        <v>200</v>
      </c>
      <c r="H37" t="s">
        <v>20</v>
      </c>
      <c r="J37">
        <v>3.1800000000000002E-2</v>
      </c>
      <c r="K37">
        <f t="shared" ref="K37:K40" si="3">$G37*J37</f>
        <v>6.36</v>
      </c>
      <c r="L37">
        <v>3.1800000000000002E-2</v>
      </c>
      <c r="M37">
        <f t="shared" ref="M37:M42" si="4">$G37*L37</f>
        <v>6.36</v>
      </c>
      <c r="N37">
        <v>3.1800000000000002E-2</v>
      </c>
      <c r="O37">
        <f t="shared" ref="O37:O42" si="5">$G37*N37</f>
        <v>6.36</v>
      </c>
    </row>
    <row r="38" spans="1:15" x14ac:dyDescent="0.25">
      <c r="A38" t="s">
        <v>35</v>
      </c>
      <c r="C38" t="s">
        <v>36</v>
      </c>
      <c r="E38" t="s">
        <v>37</v>
      </c>
      <c r="G38">
        <v>0.12</v>
      </c>
      <c r="H38" t="s">
        <v>38</v>
      </c>
      <c r="J38">
        <v>1.4</v>
      </c>
      <c r="K38">
        <f t="shared" si="3"/>
        <v>0.16799999999999998</v>
      </c>
      <c r="L38">
        <v>1.4</v>
      </c>
      <c r="M38">
        <f t="shared" si="4"/>
        <v>0.16799999999999998</v>
      </c>
      <c r="N38">
        <v>1.4</v>
      </c>
      <c r="O38">
        <f t="shared" si="5"/>
        <v>0.16799999999999998</v>
      </c>
    </row>
    <row r="39" spans="1:15" x14ac:dyDescent="0.25">
      <c r="A39" t="s">
        <v>39</v>
      </c>
      <c r="C39" t="s">
        <v>40</v>
      </c>
      <c r="G39">
        <v>1</v>
      </c>
      <c r="H39" t="s">
        <v>41</v>
      </c>
      <c r="J39">
        <v>1</v>
      </c>
      <c r="K39">
        <f t="shared" si="3"/>
        <v>1</v>
      </c>
      <c r="L39">
        <v>1</v>
      </c>
      <c r="M39">
        <f t="shared" si="4"/>
        <v>1</v>
      </c>
      <c r="N39">
        <v>1</v>
      </c>
      <c r="O39">
        <f t="shared" si="5"/>
        <v>1</v>
      </c>
    </row>
    <row r="40" spans="1:15" x14ac:dyDescent="0.25">
      <c r="A40" t="s">
        <v>42</v>
      </c>
      <c r="C40" t="s">
        <v>43</v>
      </c>
      <c r="G40">
        <v>1</v>
      </c>
      <c r="H40" t="s">
        <v>44</v>
      </c>
      <c r="J40">
        <v>0.85</v>
      </c>
      <c r="K40">
        <f t="shared" si="3"/>
        <v>0.85</v>
      </c>
      <c r="L40">
        <v>0.85</v>
      </c>
      <c r="M40">
        <f t="shared" si="4"/>
        <v>0.85</v>
      </c>
      <c r="N40">
        <v>0.85</v>
      </c>
      <c r="O40">
        <f t="shared" si="5"/>
        <v>0.85</v>
      </c>
    </row>
    <row r="41" spans="1:15" x14ac:dyDescent="0.25">
      <c r="A41" t="s">
        <v>45</v>
      </c>
      <c r="G41">
        <v>0</v>
      </c>
      <c r="H41" t="s">
        <v>46</v>
      </c>
      <c r="J41">
        <v>0</v>
      </c>
      <c r="K41">
        <v>0</v>
      </c>
      <c r="L41">
        <v>0</v>
      </c>
      <c r="M41">
        <f t="shared" si="4"/>
        <v>0</v>
      </c>
      <c r="N41">
        <v>0</v>
      </c>
      <c r="O41">
        <f t="shared" si="5"/>
        <v>0</v>
      </c>
    </row>
    <row r="42" spans="1:15" x14ac:dyDescent="0.25">
      <c r="A42" t="s">
        <v>47</v>
      </c>
      <c r="G42">
        <v>1</v>
      </c>
      <c r="H42" t="s">
        <v>41</v>
      </c>
      <c r="J42">
        <v>0</v>
      </c>
      <c r="K42">
        <v>0</v>
      </c>
      <c r="L42">
        <v>0</v>
      </c>
      <c r="M42">
        <f t="shared" si="4"/>
        <v>0</v>
      </c>
      <c r="N42">
        <v>0</v>
      </c>
      <c r="O42">
        <f t="shared" si="5"/>
        <v>0</v>
      </c>
    </row>
    <row r="43" spans="1:15" ht="18.75" x14ac:dyDescent="0.3">
      <c r="A43" s="8" t="s">
        <v>48</v>
      </c>
      <c r="B43" s="8"/>
      <c r="C43" s="8"/>
      <c r="D43" s="8"/>
      <c r="E43" s="8"/>
      <c r="F43" s="8"/>
      <c r="G43" s="8"/>
      <c r="H43" s="8"/>
      <c r="I43" s="8"/>
      <c r="J43" s="8"/>
      <c r="K43" s="8">
        <f>SUM(K37:K42)</f>
        <v>8.3780000000000001</v>
      </c>
      <c r="L43" s="8"/>
      <c r="M43" s="8">
        <f>SUM(M37:M42)</f>
        <v>8.3780000000000001</v>
      </c>
      <c r="N43" s="8"/>
      <c r="O43" s="8">
        <f>SUM(O37:O42)</f>
        <v>8.3780000000000001</v>
      </c>
    </row>
    <row r="44" spans="1:15" ht="18.75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x14ac:dyDescent="0.25">
      <c r="A45" t="s">
        <v>49</v>
      </c>
      <c r="K45">
        <v>0</v>
      </c>
      <c r="M45">
        <v>0</v>
      </c>
      <c r="O45">
        <v>0</v>
      </c>
    </row>
    <row r="46" spans="1:15" x14ac:dyDescent="0.25">
      <c r="A46" t="s">
        <v>50</v>
      </c>
      <c r="K46">
        <v>72</v>
      </c>
      <c r="M46">
        <v>72</v>
      </c>
      <c r="O46">
        <v>72</v>
      </c>
    </row>
    <row r="47" spans="1:15" ht="18.75" x14ac:dyDescent="0.3">
      <c r="A47" s="8" t="s">
        <v>51</v>
      </c>
      <c r="B47" s="8"/>
      <c r="C47" s="8"/>
      <c r="D47" s="8"/>
      <c r="E47" s="8"/>
      <c r="F47" s="8"/>
      <c r="G47" s="8"/>
      <c r="H47" s="8"/>
      <c r="I47" s="8"/>
      <c r="J47" s="8"/>
      <c r="K47" s="8">
        <f>K34+K43+K46</f>
        <v>247.964</v>
      </c>
      <c r="L47" s="8"/>
      <c r="M47" s="8">
        <f>M34+M43+M46</f>
        <v>247.964</v>
      </c>
      <c r="N47" s="8"/>
      <c r="O47" s="8">
        <f>O34+O43+O46</f>
        <v>343.64</v>
      </c>
    </row>
    <row r="48" spans="1:15" ht="18.75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x14ac:dyDescent="0.25">
      <c r="A49" t="s">
        <v>52</v>
      </c>
      <c r="J49">
        <v>0.1</v>
      </c>
      <c r="K49">
        <f>K47*J49</f>
        <v>24.796400000000002</v>
      </c>
      <c r="L49">
        <v>0.1</v>
      </c>
      <c r="M49">
        <f>M47*L49</f>
        <v>24.796400000000002</v>
      </c>
      <c r="N49">
        <v>0.1</v>
      </c>
      <c r="O49">
        <f>O47*N49</f>
        <v>34.363999999999997</v>
      </c>
    </row>
    <row r="50" spans="1:15" x14ac:dyDescent="0.25">
      <c r="A50" t="s">
        <v>53</v>
      </c>
      <c r="K50">
        <f>SUM(K47:K49)</f>
        <v>272.7604</v>
      </c>
      <c r="M50">
        <f>SUM(M47:M49)</f>
        <v>272.7604</v>
      </c>
      <c r="O50">
        <f>SUM(O47:O49)</f>
        <v>378.00399999999996</v>
      </c>
    </row>
    <row r="51" spans="1:15" ht="21" x14ac:dyDescent="0.35">
      <c r="A51" s="10" t="s">
        <v>54</v>
      </c>
      <c r="B51" s="10"/>
      <c r="C51" s="10"/>
      <c r="D51" s="10"/>
      <c r="E51" s="10"/>
      <c r="F51" s="10"/>
      <c r="G51" s="10"/>
      <c r="H51" s="10"/>
      <c r="I51" s="10"/>
      <c r="J51" s="10">
        <v>72</v>
      </c>
      <c r="K51" s="10">
        <f>K50/J51</f>
        <v>3.7883388888888891</v>
      </c>
      <c r="L51" s="10">
        <v>72</v>
      </c>
      <c r="M51" s="10">
        <f>M50/L51</f>
        <v>3.7883388888888891</v>
      </c>
      <c r="N51" s="10">
        <v>72</v>
      </c>
      <c r="O51" s="10">
        <f>O50/N51</f>
        <v>5.250055555555555</v>
      </c>
    </row>
    <row r="53" spans="1:15" ht="23.25" x14ac:dyDescent="0.35">
      <c r="A53" s="1" t="s">
        <v>0</v>
      </c>
    </row>
    <row r="54" spans="1:15" ht="21" x14ac:dyDescent="0.35">
      <c r="A54" t="s">
        <v>1</v>
      </c>
      <c r="B54" s="2" t="s">
        <v>56</v>
      </c>
    </row>
    <row r="55" spans="1:15" x14ac:dyDescent="0.25">
      <c r="A55" t="s">
        <v>3</v>
      </c>
      <c r="B55" s="3">
        <v>44644</v>
      </c>
      <c r="J55" t="s">
        <v>4</v>
      </c>
      <c r="L55" t="s">
        <v>5</v>
      </c>
      <c r="N55" t="s">
        <v>6</v>
      </c>
    </row>
    <row r="56" spans="1:15" ht="37.5" x14ac:dyDescent="0.3">
      <c r="A56" s="4" t="s">
        <v>7</v>
      </c>
      <c r="B56" s="4"/>
      <c r="C56" s="4" t="s">
        <v>7</v>
      </c>
      <c r="D56" s="4" t="s">
        <v>8</v>
      </c>
      <c r="E56" s="4" t="s">
        <v>9</v>
      </c>
      <c r="F56" s="4" t="s">
        <v>10</v>
      </c>
      <c r="G56" s="5" t="s">
        <v>11</v>
      </c>
      <c r="H56" s="4" t="s">
        <v>12</v>
      </c>
      <c r="I56" s="4" t="s">
        <v>13</v>
      </c>
      <c r="J56" s="4" t="s">
        <v>14</v>
      </c>
      <c r="K56" s="4" t="s">
        <v>15</v>
      </c>
      <c r="L56" s="4" t="s">
        <v>14</v>
      </c>
      <c r="M56" s="4" t="s">
        <v>15</v>
      </c>
      <c r="N56" s="4" t="s">
        <v>16</v>
      </c>
      <c r="O56" s="4" t="s">
        <v>15</v>
      </c>
    </row>
    <row r="57" spans="1:15" x14ac:dyDescent="0.25">
      <c r="A57" t="s">
        <v>17</v>
      </c>
      <c r="C57" t="s">
        <v>18</v>
      </c>
      <c r="D57" t="s">
        <v>19</v>
      </c>
      <c r="F57" s="6">
        <v>0.02</v>
      </c>
      <c r="G57" s="7">
        <f>[1]Consumption!$D$5*(1+F57)</f>
        <v>1.4483999999999999</v>
      </c>
      <c r="H57" t="s">
        <v>20</v>
      </c>
      <c r="I57" t="s">
        <v>21</v>
      </c>
      <c r="J57">
        <v>56</v>
      </c>
      <c r="K57">
        <f>$G57*J57</f>
        <v>81.110399999999998</v>
      </c>
      <c r="L57">
        <v>56</v>
      </c>
      <c r="M57">
        <f>$G57*L57</f>
        <v>81.110399999999998</v>
      </c>
      <c r="N57">
        <v>123</v>
      </c>
      <c r="O57">
        <f>$G57*N57</f>
        <v>178.1532</v>
      </c>
    </row>
    <row r="58" spans="1:15" x14ac:dyDescent="0.25">
      <c r="A58" t="s">
        <v>22</v>
      </c>
      <c r="C58" t="s">
        <v>23</v>
      </c>
      <c r="D58" t="s">
        <v>24</v>
      </c>
      <c r="F58" s="6">
        <v>0.02</v>
      </c>
      <c r="G58" s="7">
        <f>[1]Consumption!$E$5*(1+F163)</f>
        <v>0.61199999999999999</v>
      </c>
      <c r="H58" t="s">
        <v>20</v>
      </c>
      <c r="I58" t="s">
        <v>25</v>
      </c>
      <c r="J58">
        <v>70</v>
      </c>
      <c r="K58">
        <f t="shared" ref="K58:O59" si="6">$G58*J58</f>
        <v>42.839999999999996</v>
      </c>
      <c r="L58">
        <v>70</v>
      </c>
      <c r="M58">
        <f t="shared" si="6"/>
        <v>42.839999999999996</v>
      </c>
      <c r="N58">
        <v>70</v>
      </c>
      <c r="O58">
        <f t="shared" si="6"/>
        <v>42.839999999999996</v>
      </c>
    </row>
    <row r="59" spans="1:15" x14ac:dyDescent="0.25">
      <c r="A59" t="s">
        <v>26</v>
      </c>
      <c r="C59" t="s">
        <v>27</v>
      </c>
      <c r="D59" t="s">
        <v>28</v>
      </c>
      <c r="F59" s="6">
        <v>0.02</v>
      </c>
      <c r="G59" s="7">
        <f>[1]Consumption!$F$5*(1+F164)</f>
        <v>60</v>
      </c>
      <c r="H59" t="s">
        <v>29</v>
      </c>
      <c r="I59" t="s">
        <v>30</v>
      </c>
      <c r="J59">
        <f>615/1000</f>
        <v>0.61499999999999999</v>
      </c>
      <c r="K59">
        <f t="shared" si="6"/>
        <v>36.9</v>
      </c>
      <c r="L59">
        <f>615/1000</f>
        <v>0.61499999999999999</v>
      </c>
      <c r="M59">
        <f t="shared" si="6"/>
        <v>36.9</v>
      </c>
      <c r="N59">
        <f>615/1000</f>
        <v>0.61499999999999999</v>
      </c>
      <c r="O59">
        <f t="shared" si="6"/>
        <v>36.9</v>
      </c>
    </row>
    <row r="60" spans="1:15" ht="18.75" x14ac:dyDescent="0.3">
      <c r="A60" s="8" t="s">
        <v>31</v>
      </c>
      <c r="B60" s="8"/>
      <c r="C60" s="8"/>
      <c r="D60" s="8"/>
      <c r="E60" s="8"/>
      <c r="F60" s="8"/>
      <c r="G60" s="8"/>
      <c r="H60" s="8"/>
      <c r="I60" s="8"/>
      <c r="J60" s="8"/>
      <c r="K60" s="8">
        <f>SUM(K57:K59)</f>
        <v>160.85040000000001</v>
      </c>
      <c r="L60" s="8"/>
      <c r="M60" s="8">
        <f>SUM(M57:M59)</f>
        <v>160.85040000000001</v>
      </c>
      <c r="N60" s="8"/>
      <c r="O60" s="8">
        <f>SUM(O57:O59)</f>
        <v>257.89319999999998</v>
      </c>
    </row>
    <row r="62" spans="1:15" ht="21" x14ac:dyDescent="0.35">
      <c r="A62" s="9" t="s">
        <v>32</v>
      </c>
    </row>
    <row r="63" spans="1:15" x14ac:dyDescent="0.25">
      <c r="A63" t="s">
        <v>33</v>
      </c>
      <c r="C63" t="s">
        <v>34</v>
      </c>
      <c r="G63">
        <v>200</v>
      </c>
      <c r="H63" t="s">
        <v>20</v>
      </c>
      <c r="J63">
        <v>3.1800000000000002E-2</v>
      </c>
      <c r="K63">
        <f t="shared" ref="K63:K66" si="7">$G63*J63</f>
        <v>6.36</v>
      </c>
      <c r="L63">
        <v>3.1800000000000002E-2</v>
      </c>
      <c r="M63">
        <f t="shared" ref="M63:M68" si="8">$G63*L63</f>
        <v>6.36</v>
      </c>
      <c r="N63">
        <v>3.1800000000000002E-2</v>
      </c>
      <c r="O63">
        <f t="shared" ref="O63:O68" si="9">$G63*N63</f>
        <v>6.36</v>
      </c>
    </row>
    <row r="64" spans="1:15" x14ac:dyDescent="0.25">
      <c r="A64" t="s">
        <v>35</v>
      </c>
      <c r="C64" t="s">
        <v>36</v>
      </c>
      <c r="E64" t="s">
        <v>37</v>
      </c>
      <c r="G64">
        <v>0.12</v>
      </c>
      <c r="H64" t="s">
        <v>38</v>
      </c>
      <c r="J64">
        <v>1.4</v>
      </c>
      <c r="K64">
        <f t="shared" si="7"/>
        <v>0.16799999999999998</v>
      </c>
      <c r="L64">
        <v>1.4</v>
      </c>
      <c r="M64">
        <f t="shared" si="8"/>
        <v>0.16799999999999998</v>
      </c>
      <c r="N64">
        <v>1.4</v>
      </c>
      <c r="O64">
        <f t="shared" si="9"/>
        <v>0.16799999999999998</v>
      </c>
    </row>
    <row r="65" spans="1:15" x14ac:dyDescent="0.25">
      <c r="A65" t="s">
        <v>39</v>
      </c>
      <c r="C65" t="s">
        <v>40</v>
      </c>
      <c r="G65">
        <v>1</v>
      </c>
      <c r="H65" t="s">
        <v>41</v>
      </c>
      <c r="J65">
        <v>1</v>
      </c>
      <c r="K65">
        <f t="shared" si="7"/>
        <v>1</v>
      </c>
      <c r="L65">
        <v>1</v>
      </c>
      <c r="M65">
        <f t="shared" si="8"/>
        <v>1</v>
      </c>
      <c r="N65">
        <v>1</v>
      </c>
      <c r="O65">
        <f t="shared" si="9"/>
        <v>1</v>
      </c>
    </row>
    <row r="66" spans="1:15" x14ac:dyDescent="0.25">
      <c r="A66" t="s">
        <v>42</v>
      </c>
      <c r="C66" t="s">
        <v>43</v>
      </c>
      <c r="G66">
        <v>1</v>
      </c>
      <c r="H66" t="s">
        <v>44</v>
      </c>
      <c r="J66">
        <v>0.85</v>
      </c>
      <c r="K66">
        <f t="shared" si="7"/>
        <v>0.85</v>
      </c>
      <c r="L66">
        <v>0.85</v>
      </c>
      <c r="M66">
        <f t="shared" si="8"/>
        <v>0.85</v>
      </c>
      <c r="N66">
        <v>0.85</v>
      </c>
      <c r="O66">
        <f t="shared" si="9"/>
        <v>0.85</v>
      </c>
    </row>
    <row r="67" spans="1:15" x14ac:dyDescent="0.25">
      <c r="A67" t="s">
        <v>45</v>
      </c>
      <c r="G67">
        <v>0</v>
      </c>
      <c r="H67" t="s">
        <v>46</v>
      </c>
      <c r="J67">
        <v>0</v>
      </c>
      <c r="K67">
        <v>0</v>
      </c>
      <c r="L67">
        <v>0</v>
      </c>
      <c r="M67">
        <f t="shared" si="8"/>
        <v>0</v>
      </c>
      <c r="N67">
        <v>0</v>
      </c>
      <c r="O67">
        <f t="shared" si="9"/>
        <v>0</v>
      </c>
    </row>
    <row r="68" spans="1:15" x14ac:dyDescent="0.25">
      <c r="A68" t="s">
        <v>47</v>
      </c>
      <c r="G68">
        <v>1</v>
      </c>
      <c r="H68" t="s">
        <v>41</v>
      </c>
      <c r="J68">
        <v>0</v>
      </c>
      <c r="K68">
        <v>0</v>
      </c>
      <c r="L68">
        <v>0</v>
      </c>
      <c r="M68">
        <f t="shared" si="8"/>
        <v>0</v>
      </c>
      <c r="N68">
        <v>0</v>
      </c>
      <c r="O68">
        <f t="shared" si="9"/>
        <v>0</v>
      </c>
    </row>
    <row r="69" spans="1:15" ht="18.75" x14ac:dyDescent="0.3">
      <c r="A69" s="8" t="s">
        <v>48</v>
      </c>
      <c r="B69" s="8"/>
      <c r="C69" s="8"/>
      <c r="D69" s="8"/>
      <c r="E69" s="8"/>
      <c r="F69" s="8"/>
      <c r="G69" s="8"/>
      <c r="H69" s="8"/>
      <c r="I69" s="8"/>
      <c r="J69" s="8"/>
      <c r="K69" s="8">
        <f>SUM(K63:K68)</f>
        <v>8.3780000000000001</v>
      </c>
      <c r="L69" s="8"/>
      <c r="M69" s="8">
        <f>SUM(M63:M68)</f>
        <v>8.3780000000000001</v>
      </c>
      <c r="N69" s="8"/>
      <c r="O69" s="8">
        <f>SUM(O63:O68)</f>
        <v>8.3780000000000001</v>
      </c>
    </row>
    <row r="70" spans="1:15" ht="18.75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25">
      <c r="A71" t="s">
        <v>49</v>
      </c>
      <c r="K71">
        <v>0</v>
      </c>
      <c r="M71">
        <v>0</v>
      </c>
      <c r="O71">
        <v>0</v>
      </c>
    </row>
    <row r="72" spans="1:15" x14ac:dyDescent="0.25">
      <c r="A72" t="s">
        <v>50</v>
      </c>
      <c r="K72">
        <v>72</v>
      </c>
      <c r="M72">
        <v>72</v>
      </c>
      <c r="O72">
        <v>72</v>
      </c>
    </row>
    <row r="73" spans="1:15" ht="18.75" x14ac:dyDescent="0.3">
      <c r="A73" s="8" t="s">
        <v>51</v>
      </c>
      <c r="B73" s="8"/>
      <c r="C73" s="8"/>
      <c r="D73" s="8"/>
      <c r="E73" s="8"/>
      <c r="F73" s="8"/>
      <c r="G73" s="8"/>
      <c r="H73" s="8"/>
      <c r="I73" s="8"/>
      <c r="J73" s="8"/>
      <c r="K73" s="8">
        <f>K60+K69+K72</f>
        <v>241.22840000000002</v>
      </c>
      <c r="L73" s="8"/>
      <c r="M73" s="8">
        <f>M60+M69+M72</f>
        <v>241.22840000000002</v>
      </c>
      <c r="N73" s="8"/>
      <c r="O73" s="8">
        <f>O60+O69+O72</f>
        <v>338.27119999999996</v>
      </c>
    </row>
    <row r="74" spans="1:15" ht="18.75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25">
      <c r="A75" t="s">
        <v>52</v>
      </c>
      <c r="J75">
        <v>0.1</v>
      </c>
      <c r="K75">
        <f>K73*J75</f>
        <v>24.122840000000004</v>
      </c>
      <c r="L75">
        <v>0.1</v>
      </c>
      <c r="M75">
        <f>M73*L75</f>
        <v>24.122840000000004</v>
      </c>
      <c r="N75">
        <v>0.1</v>
      </c>
      <c r="O75">
        <f>O73*N75</f>
        <v>33.827120000000001</v>
      </c>
    </row>
    <row r="76" spans="1:15" x14ac:dyDescent="0.25">
      <c r="A76" t="s">
        <v>53</v>
      </c>
      <c r="K76">
        <f>SUM(K73:K75)</f>
        <v>265.35124000000002</v>
      </c>
      <c r="M76">
        <f>SUM(M73:M75)</f>
        <v>265.35124000000002</v>
      </c>
      <c r="O76">
        <f>SUM(O73:O75)</f>
        <v>372.09831999999994</v>
      </c>
    </row>
    <row r="77" spans="1:15" ht="21" x14ac:dyDescent="0.35">
      <c r="A77" s="10" t="s">
        <v>54</v>
      </c>
      <c r="B77" s="10"/>
      <c r="C77" s="10"/>
      <c r="D77" s="10"/>
      <c r="E77" s="10"/>
      <c r="F77" s="10"/>
      <c r="G77" s="10"/>
      <c r="H77" s="10"/>
      <c r="I77" s="10"/>
      <c r="J77" s="10">
        <v>72</v>
      </c>
      <c r="K77" s="10">
        <f>K76/J77</f>
        <v>3.6854338888888893</v>
      </c>
      <c r="L77" s="10">
        <v>72</v>
      </c>
      <c r="M77" s="10">
        <f>M76/L77</f>
        <v>3.6854338888888893</v>
      </c>
      <c r="N77" s="10">
        <v>72</v>
      </c>
      <c r="O77" s="10">
        <f>O76/N77</f>
        <v>5.1680322222222213</v>
      </c>
    </row>
    <row r="79" spans="1:15" ht="23.25" x14ac:dyDescent="0.35">
      <c r="A79" s="1" t="s">
        <v>0</v>
      </c>
    </row>
    <row r="80" spans="1:15" ht="21" x14ac:dyDescent="0.35">
      <c r="A80" t="s">
        <v>1</v>
      </c>
      <c r="B80" s="2" t="s">
        <v>57</v>
      </c>
    </row>
    <row r="81" spans="1:15" x14ac:dyDescent="0.25">
      <c r="A81" t="s">
        <v>3</v>
      </c>
      <c r="B81" s="3">
        <v>44644</v>
      </c>
      <c r="J81" t="s">
        <v>4</v>
      </c>
      <c r="L81" t="s">
        <v>5</v>
      </c>
      <c r="N81" t="s">
        <v>6</v>
      </c>
    </row>
    <row r="82" spans="1:15" ht="37.5" x14ac:dyDescent="0.3">
      <c r="A82" s="4" t="s">
        <v>7</v>
      </c>
      <c r="B82" s="4"/>
      <c r="C82" s="4" t="s">
        <v>7</v>
      </c>
      <c r="D82" s="4" t="s">
        <v>8</v>
      </c>
      <c r="E82" s="4" t="s">
        <v>9</v>
      </c>
      <c r="F82" s="4" t="s">
        <v>10</v>
      </c>
      <c r="G82" s="5" t="s">
        <v>11</v>
      </c>
      <c r="H82" s="4" t="s">
        <v>12</v>
      </c>
      <c r="I82" s="4" t="s">
        <v>13</v>
      </c>
      <c r="J82" s="4" t="s">
        <v>14</v>
      </c>
      <c r="K82" s="4" t="s">
        <v>15</v>
      </c>
      <c r="L82" s="4" t="s">
        <v>14</v>
      </c>
      <c r="M82" s="4" t="s">
        <v>15</v>
      </c>
      <c r="N82" s="4" t="s">
        <v>16</v>
      </c>
      <c r="O82" s="4" t="s">
        <v>15</v>
      </c>
    </row>
    <row r="83" spans="1:15" x14ac:dyDescent="0.25">
      <c r="A83" t="s">
        <v>17</v>
      </c>
      <c r="C83" t="s">
        <v>18</v>
      </c>
      <c r="D83" t="s">
        <v>19</v>
      </c>
      <c r="F83" s="6">
        <v>0.02</v>
      </c>
      <c r="G83" s="7">
        <f>[1]Consumption!$D$6*(1+F83)</f>
        <v>1.5606</v>
      </c>
      <c r="H83" t="s">
        <v>20</v>
      </c>
      <c r="I83" t="s">
        <v>21</v>
      </c>
      <c r="J83">
        <v>56</v>
      </c>
      <c r="K83">
        <f>$G83*J83</f>
        <v>87.393599999999992</v>
      </c>
      <c r="L83">
        <v>56</v>
      </c>
      <c r="M83">
        <f>$G83*L83</f>
        <v>87.393599999999992</v>
      </c>
      <c r="N83">
        <v>123</v>
      </c>
      <c r="O83">
        <f>$G83*N83</f>
        <v>191.9538</v>
      </c>
    </row>
    <row r="84" spans="1:15" x14ac:dyDescent="0.25">
      <c r="A84" t="s">
        <v>22</v>
      </c>
      <c r="C84" t="s">
        <v>23</v>
      </c>
      <c r="D84" t="s">
        <v>24</v>
      </c>
      <c r="F84" s="6">
        <v>0.02</v>
      </c>
      <c r="G84" s="7">
        <f>[1]Consumption!$E$6*(1+F189)</f>
        <v>0.81600000000000006</v>
      </c>
      <c r="H84" t="s">
        <v>20</v>
      </c>
      <c r="I84" t="s">
        <v>25</v>
      </c>
      <c r="J84">
        <v>70</v>
      </c>
      <c r="K84">
        <f t="shared" ref="K84:K85" si="10">$G84*J84</f>
        <v>57.120000000000005</v>
      </c>
      <c r="L84">
        <v>70</v>
      </c>
      <c r="M84">
        <f t="shared" ref="M84:M85" si="11">$G84*L84</f>
        <v>57.120000000000005</v>
      </c>
      <c r="N84">
        <v>70</v>
      </c>
      <c r="O84">
        <f t="shared" ref="O84:O85" si="12">$G84*N84</f>
        <v>57.120000000000005</v>
      </c>
    </row>
    <row r="85" spans="1:15" x14ac:dyDescent="0.25">
      <c r="A85" t="s">
        <v>26</v>
      </c>
      <c r="C85" t="s">
        <v>27</v>
      </c>
      <c r="D85" t="s">
        <v>28</v>
      </c>
      <c r="F85" s="6">
        <v>0.02</v>
      </c>
      <c r="G85" s="7">
        <f>[1]Consumption!$F$6*(1+F190)</f>
        <v>60</v>
      </c>
      <c r="H85" t="s">
        <v>29</v>
      </c>
      <c r="I85" t="s">
        <v>30</v>
      </c>
      <c r="J85">
        <f>615/1000</f>
        <v>0.61499999999999999</v>
      </c>
      <c r="K85">
        <f t="shared" si="10"/>
        <v>36.9</v>
      </c>
      <c r="L85">
        <f>615/1000</f>
        <v>0.61499999999999999</v>
      </c>
      <c r="M85">
        <f t="shared" si="11"/>
        <v>36.9</v>
      </c>
      <c r="N85">
        <f>615/1000</f>
        <v>0.61499999999999999</v>
      </c>
      <c r="O85">
        <f t="shared" si="12"/>
        <v>36.9</v>
      </c>
    </row>
    <row r="86" spans="1:15" ht="18.75" x14ac:dyDescent="0.3">
      <c r="A86" s="8" t="s">
        <v>31</v>
      </c>
      <c r="B86" s="8"/>
      <c r="C86" s="8"/>
      <c r="D86" s="8"/>
      <c r="E86" s="8"/>
      <c r="F86" s="8"/>
      <c r="G86" s="8"/>
      <c r="H86" s="8"/>
      <c r="I86" s="8"/>
      <c r="J86" s="8"/>
      <c r="K86" s="8">
        <f>SUM(K83:K85)</f>
        <v>181.4136</v>
      </c>
      <c r="L86" s="8"/>
      <c r="M86" s="8">
        <f>SUM(M83:M85)</f>
        <v>181.4136</v>
      </c>
      <c r="N86" s="8"/>
      <c r="O86" s="8">
        <f>SUM(O83:O85)</f>
        <v>285.97379999999998</v>
      </c>
    </row>
    <row r="88" spans="1:15" ht="21" x14ac:dyDescent="0.35">
      <c r="A88" s="9" t="s">
        <v>32</v>
      </c>
    </row>
    <row r="89" spans="1:15" x14ac:dyDescent="0.25">
      <c r="A89" t="s">
        <v>33</v>
      </c>
      <c r="C89" t="s">
        <v>34</v>
      </c>
      <c r="G89">
        <v>200</v>
      </c>
      <c r="H89" t="s">
        <v>20</v>
      </c>
      <c r="J89">
        <v>3.1800000000000002E-2</v>
      </c>
      <c r="K89">
        <f t="shared" ref="K89:K92" si="13">$G89*J89</f>
        <v>6.36</v>
      </c>
      <c r="L89">
        <v>3.1800000000000002E-2</v>
      </c>
      <c r="M89">
        <f t="shared" ref="M89:M94" si="14">$G89*L89</f>
        <v>6.36</v>
      </c>
      <c r="N89">
        <v>3.1800000000000002E-2</v>
      </c>
      <c r="O89">
        <f t="shared" ref="O89:O94" si="15">$G89*N89</f>
        <v>6.36</v>
      </c>
    </row>
    <row r="90" spans="1:15" x14ac:dyDescent="0.25">
      <c r="A90" t="s">
        <v>35</v>
      </c>
      <c r="C90" t="s">
        <v>36</v>
      </c>
      <c r="E90" t="s">
        <v>37</v>
      </c>
      <c r="G90">
        <v>0.12</v>
      </c>
      <c r="H90" t="s">
        <v>38</v>
      </c>
      <c r="J90">
        <v>1.4</v>
      </c>
      <c r="K90">
        <f t="shared" si="13"/>
        <v>0.16799999999999998</v>
      </c>
      <c r="L90">
        <v>1.4</v>
      </c>
      <c r="M90">
        <f t="shared" si="14"/>
        <v>0.16799999999999998</v>
      </c>
      <c r="N90">
        <v>1.4</v>
      </c>
      <c r="O90">
        <f t="shared" si="15"/>
        <v>0.16799999999999998</v>
      </c>
    </row>
    <row r="91" spans="1:15" x14ac:dyDescent="0.25">
      <c r="A91" t="s">
        <v>39</v>
      </c>
      <c r="C91" t="s">
        <v>40</v>
      </c>
      <c r="G91">
        <v>1</v>
      </c>
      <c r="H91" t="s">
        <v>41</v>
      </c>
      <c r="J91">
        <v>1</v>
      </c>
      <c r="K91">
        <f t="shared" si="13"/>
        <v>1</v>
      </c>
      <c r="L91">
        <v>1</v>
      </c>
      <c r="M91">
        <f t="shared" si="14"/>
        <v>1</v>
      </c>
      <c r="N91">
        <v>1</v>
      </c>
      <c r="O91">
        <f t="shared" si="15"/>
        <v>1</v>
      </c>
    </row>
    <row r="92" spans="1:15" x14ac:dyDescent="0.25">
      <c r="A92" t="s">
        <v>42</v>
      </c>
      <c r="C92" t="s">
        <v>43</v>
      </c>
      <c r="G92">
        <v>1</v>
      </c>
      <c r="H92" t="s">
        <v>44</v>
      </c>
      <c r="J92">
        <v>0.85</v>
      </c>
      <c r="K92">
        <f t="shared" si="13"/>
        <v>0.85</v>
      </c>
      <c r="L92">
        <v>0.85</v>
      </c>
      <c r="M92">
        <f t="shared" si="14"/>
        <v>0.85</v>
      </c>
      <c r="N92">
        <v>0.85</v>
      </c>
      <c r="O92">
        <f t="shared" si="15"/>
        <v>0.85</v>
      </c>
    </row>
    <row r="93" spans="1:15" x14ac:dyDescent="0.25">
      <c r="A93" t="s">
        <v>45</v>
      </c>
      <c r="G93">
        <v>0</v>
      </c>
      <c r="H93" t="s">
        <v>46</v>
      </c>
      <c r="J93">
        <v>0</v>
      </c>
      <c r="K93">
        <v>0</v>
      </c>
      <c r="L93">
        <v>0</v>
      </c>
      <c r="M93">
        <f t="shared" si="14"/>
        <v>0</v>
      </c>
      <c r="N93">
        <v>0</v>
      </c>
      <c r="O93">
        <f t="shared" si="15"/>
        <v>0</v>
      </c>
    </row>
    <row r="94" spans="1:15" x14ac:dyDescent="0.25">
      <c r="A94" t="s">
        <v>47</v>
      </c>
      <c r="G94">
        <v>1</v>
      </c>
      <c r="H94" t="s">
        <v>41</v>
      </c>
      <c r="J94">
        <v>0</v>
      </c>
      <c r="K94">
        <v>0</v>
      </c>
      <c r="L94">
        <v>0</v>
      </c>
      <c r="M94">
        <f t="shared" si="14"/>
        <v>0</v>
      </c>
      <c r="N94">
        <v>0</v>
      </c>
      <c r="O94">
        <f t="shared" si="15"/>
        <v>0</v>
      </c>
    </row>
    <row r="95" spans="1:15" ht="18.75" x14ac:dyDescent="0.3">
      <c r="A95" s="8" t="s">
        <v>48</v>
      </c>
      <c r="B95" s="8"/>
      <c r="C95" s="8"/>
      <c r="D95" s="8"/>
      <c r="E95" s="8"/>
      <c r="F95" s="8"/>
      <c r="G95" s="8"/>
      <c r="H95" s="8"/>
      <c r="I95" s="8"/>
      <c r="J95" s="8"/>
      <c r="K95" s="8">
        <f>SUM(K89:K94)</f>
        <v>8.3780000000000001</v>
      </c>
      <c r="L95" s="8"/>
      <c r="M95" s="8">
        <f>SUM(M89:M94)</f>
        <v>8.3780000000000001</v>
      </c>
      <c r="N95" s="8"/>
      <c r="O95" s="8">
        <f>SUM(O89:O94)</f>
        <v>8.3780000000000001</v>
      </c>
    </row>
    <row r="96" spans="1:15" ht="18.75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25">
      <c r="A97" t="s">
        <v>49</v>
      </c>
      <c r="K97">
        <v>0</v>
      </c>
      <c r="M97">
        <v>0</v>
      </c>
      <c r="O97">
        <v>0</v>
      </c>
    </row>
    <row r="98" spans="1:15" x14ac:dyDescent="0.25">
      <c r="A98" t="s">
        <v>50</v>
      </c>
      <c r="K98">
        <v>72</v>
      </c>
      <c r="M98">
        <v>72</v>
      </c>
      <c r="O98">
        <v>72</v>
      </c>
    </row>
    <row r="99" spans="1:15" ht="18.75" x14ac:dyDescent="0.3">
      <c r="A99" s="8" t="s">
        <v>51</v>
      </c>
      <c r="B99" s="8"/>
      <c r="C99" s="8"/>
      <c r="D99" s="8"/>
      <c r="E99" s="8"/>
      <c r="F99" s="8"/>
      <c r="G99" s="8"/>
      <c r="H99" s="8"/>
      <c r="I99" s="8"/>
      <c r="J99" s="8"/>
      <c r="K99" s="8">
        <f>K86+K95+K98</f>
        <v>261.79160000000002</v>
      </c>
      <c r="L99" s="8"/>
      <c r="M99" s="8">
        <f>M86+M95+M98</f>
        <v>261.79160000000002</v>
      </c>
      <c r="N99" s="8"/>
      <c r="O99" s="8">
        <f>O86+O95+O98</f>
        <v>366.35179999999997</v>
      </c>
    </row>
    <row r="100" spans="1:15" ht="18.75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25">
      <c r="A101" t="s">
        <v>52</v>
      </c>
      <c r="J101">
        <v>0.1</v>
      </c>
      <c r="K101">
        <f>K99*J101</f>
        <v>26.179160000000003</v>
      </c>
      <c r="L101">
        <v>0.1</v>
      </c>
      <c r="M101">
        <f>M99*L101</f>
        <v>26.179160000000003</v>
      </c>
      <c r="N101">
        <v>0.1</v>
      </c>
      <c r="O101">
        <f>O99*N101</f>
        <v>36.635179999999998</v>
      </c>
    </row>
    <row r="102" spans="1:15" x14ac:dyDescent="0.25">
      <c r="A102" t="s">
        <v>53</v>
      </c>
      <c r="K102">
        <f>SUM(K99:K101)</f>
        <v>287.97076000000004</v>
      </c>
      <c r="M102">
        <f>SUM(M99:M101)</f>
        <v>287.97076000000004</v>
      </c>
      <c r="O102">
        <f>SUM(O99:O101)</f>
        <v>402.98697999999996</v>
      </c>
    </row>
    <row r="103" spans="1:15" ht="21" x14ac:dyDescent="0.35">
      <c r="A103" s="10" t="s">
        <v>54</v>
      </c>
      <c r="B103" s="10"/>
      <c r="C103" s="10"/>
      <c r="D103" s="10"/>
      <c r="E103" s="10"/>
      <c r="F103" s="10"/>
      <c r="G103" s="10"/>
      <c r="H103" s="10"/>
      <c r="I103" s="10"/>
      <c r="J103" s="10">
        <v>72</v>
      </c>
      <c r="K103" s="10">
        <f>K102/J103</f>
        <v>3.9995938888888896</v>
      </c>
      <c r="L103" s="10">
        <v>72</v>
      </c>
      <c r="M103" s="10">
        <f>M102/L103</f>
        <v>3.9995938888888896</v>
      </c>
      <c r="N103" s="10">
        <v>72</v>
      </c>
      <c r="O103" s="10">
        <f>O102/N103</f>
        <v>5.5970413888888881</v>
      </c>
    </row>
    <row r="105" spans="1:15" ht="23.25" x14ac:dyDescent="0.35">
      <c r="A105" s="1" t="s">
        <v>0</v>
      </c>
    </row>
    <row r="106" spans="1:15" ht="21" x14ac:dyDescent="0.35">
      <c r="A106" t="s">
        <v>1</v>
      </c>
      <c r="B106" s="2" t="s">
        <v>58</v>
      </c>
    </row>
    <row r="107" spans="1:15" x14ac:dyDescent="0.25">
      <c r="A107" t="s">
        <v>3</v>
      </c>
      <c r="B107" s="3">
        <v>44644</v>
      </c>
      <c r="J107" t="s">
        <v>4</v>
      </c>
      <c r="L107" t="s">
        <v>5</v>
      </c>
      <c r="N107" t="s">
        <v>6</v>
      </c>
    </row>
    <row r="108" spans="1:15" ht="37.5" x14ac:dyDescent="0.3">
      <c r="A108" s="4" t="s">
        <v>7</v>
      </c>
      <c r="B108" s="4"/>
      <c r="C108" s="4" t="s">
        <v>7</v>
      </c>
      <c r="D108" s="4" t="s">
        <v>8</v>
      </c>
      <c r="E108" s="4" t="s">
        <v>9</v>
      </c>
      <c r="F108" s="4" t="s">
        <v>10</v>
      </c>
      <c r="G108" s="5" t="s">
        <v>11</v>
      </c>
      <c r="H108" s="4" t="s">
        <v>12</v>
      </c>
      <c r="I108" s="4" t="s">
        <v>13</v>
      </c>
      <c r="J108" s="4" t="s">
        <v>14</v>
      </c>
      <c r="K108" s="4" t="s">
        <v>15</v>
      </c>
      <c r="L108" s="4" t="s">
        <v>14</v>
      </c>
      <c r="M108" s="4" t="s">
        <v>15</v>
      </c>
      <c r="N108" s="4" t="s">
        <v>16</v>
      </c>
      <c r="O108" s="4" t="s">
        <v>15</v>
      </c>
    </row>
    <row r="109" spans="1:15" x14ac:dyDescent="0.25">
      <c r="A109" t="s">
        <v>17</v>
      </c>
      <c r="C109" t="s">
        <v>18</v>
      </c>
      <c r="D109" t="s">
        <v>19</v>
      </c>
      <c r="F109" s="6">
        <v>0.02</v>
      </c>
      <c r="G109" s="7">
        <f>[1]Consumption!$D$12*(1+F135)</f>
        <v>1.02</v>
      </c>
      <c r="H109" t="s">
        <v>20</v>
      </c>
      <c r="I109" t="s">
        <v>21</v>
      </c>
      <c r="J109">
        <v>56</v>
      </c>
      <c r="K109">
        <f>$G109*J109</f>
        <v>57.120000000000005</v>
      </c>
      <c r="L109">
        <v>56</v>
      </c>
      <c r="M109">
        <f>$G109*L109</f>
        <v>57.120000000000005</v>
      </c>
      <c r="N109">
        <v>123</v>
      </c>
      <c r="O109">
        <f>$G109*N109</f>
        <v>125.46000000000001</v>
      </c>
    </row>
    <row r="110" spans="1:15" x14ac:dyDescent="0.25">
      <c r="A110" t="s">
        <v>22</v>
      </c>
      <c r="C110" t="s">
        <v>23</v>
      </c>
      <c r="D110" t="s">
        <v>24</v>
      </c>
      <c r="F110" s="6">
        <v>0.02</v>
      </c>
      <c r="G110" s="7">
        <f>[1]Consumption!$E$12*(1+F136)</f>
        <v>0</v>
      </c>
      <c r="H110" t="s">
        <v>20</v>
      </c>
      <c r="I110" t="s">
        <v>25</v>
      </c>
      <c r="J110">
        <v>70</v>
      </c>
      <c r="K110">
        <f t="shared" ref="K110:O111" si="16">$G110*J110</f>
        <v>0</v>
      </c>
      <c r="L110">
        <v>70</v>
      </c>
      <c r="M110">
        <f>G110*L110</f>
        <v>0</v>
      </c>
      <c r="N110">
        <v>70</v>
      </c>
      <c r="O110">
        <v>0</v>
      </c>
    </row>
    <row r="111" spans="1:15" x14ac:dyDescent="0.25">
      <c r="A111" t="s">
        <v>26</v>
      </c>
      <c r="C111" t="s">
        <v>27</v>
      </c>
      <c r="D111" t="s">
        <v>28</v>
      </c>
      <c r="F111" s="6">
        <v>0.02</v>
      </c>
      <c r="G111" s="7">
        <f>[1]Consumption!$F$12*(1+F137)</f>
        <v>153</v>
      </c>
      <c r="H111" t="s">
        <v>29</v>
      </c>
      <c r="I111" t="s">
        <v>30</v>
      </c>
      <c r="J111">
        <f>615/1000</f>
        <v>0.61499999999999999</v>
      </c>
      <c r="K111">
        <f t="shared" si="16"/>
        <v>94.094999999999999</v>
      </c>
      <c r="L111">
        <f>615/1000</f>
        <v>0.61499999999999999</v>
      </c>
      <c r="M111">
        <f t="shared" si="16"/>
        <v>94.094999999999999</v>
      </c>
      <c r="N111">
        <f>615/1000</f>
        <v>0.61499999999999999</v>
      </c>
      <c r="O111">
        <f t="shared" si="16"/>
        <v>94.094999999999999</v>
      </c>
    </row>
    <row r="112" spans="1:15" ht="18.75" x14ac:dyDescent="0.3">
      <c r="A112" s="8" t="s">
        <v>31</v>
      </c>
      <c r="B112" s="8"/>
      <c r="C112" s="8"/>
      <c r="D112" s="8"/>
      <c r="E112" s="8"/>
      <c r="F112" s="8"/>
      <c r="G112" s="8"/>
      <c r="H112" s="8"/>
      <c r="I112" s="8"/>
      <c r="J112" s="8"/>
      <c r="K112" s="8">
        <f>SUM(K109:K111)</f>
        <v>151.215</v>
      </c>
      <c r="L112" s="8"/>
      <c r="M112" s="8">
        <f>SUM(M109:M111)</f>
        <v>151.215</v>
      </c>
      <c r="N112" s="8"/>
      <c r="O112" s="8">
        <f>SUM(O109:O111)</f>
        <v>219.55500000000001</v>
      </c>
    </row>
    <row r="114" spans="1:15" ht="21" x14ac:dyDescent="0.35">
      <c r="A114" s="9" t="s">
        <v>32</v>
      </c>
    </row>
    <row r="115" spans="1:15" x14ac:dyDescent="0.25">
      <c r="A115" t="s">
        <v>33</v>
      </c>
      <c r="C115" t="s">
        <v>34</v>
      </c>
      <c r="G115">
        <v>200</v>
      </c>
      <c r="H115" t="s">
        <v>20</v>
      </c>
      <c r="J115">
        <v>3.1800000000000002E-2</v>
      </c>
      <c r="K115">
        <f t="shared" ref="K115:K118" si="17">$G115*J115</f>
        <v>6.36</v>
      </c>
      <c r="L115">
        <v>3.1800000000000002E-2</v>
      </c>
      <c r="M115">
        <f t="shared" ref="M115:M120" si="18">$G115*L115</f>
        <v>6.36</v>
      </c>
      <c r="N115">
        <v>3.1800000000000002E-2</v>
      </c>
      <c r="O115">
        <f t="shared" ref="O115:O120" si="19">$G115*N115</f>
        <v>6.36</v>
      </c>
    </row>
    <row r="116" spans="1:15" x14ac:dyDescent="0.25">
      <c r="A116" t="s">
        <v>35</v>
      </c>
      <c r="C116" t="s">
        <v>36</v>
      </c>
      <c r="E116" t="s">
        <v>37</v>
      </c>
      <c r="G116">
        <v>0.12</v>
      </c>
      <c r="H116" t="s">
        <v>38</v>
      </c>
      <c r="J116">
        <v>1.4</v>
      </c>
      <c r="K116">
        <f t="shared" si="17"/>
        <v>0.16799999999999998</v>
      </c>
      <c r="L116">
        <v>1.4</v>
      </c>
      <c r="M116">
        <f t="shared" si="18"/>
        <v>0.16799999999999998</v>
      </c>
      <c r="N116">
        <v>1.4</v>
      </c>
      <c r="O116">
        <f t="shared" si="19"/>
        <v>0.16799999999999998</v>
      </c>
    </row>
    <row r="117" spans="1:15" x14ac:dyDescent="0.25">
      <c r="A117" t="s">
        <v>39</v>
      </c>
      <c r="C117" t="s">
        <v>40</v>
      </c>
      <c r="G117">
        <v>1</v>
      </c>
      <c r="H117" t="s">
        <v>41</v>
      </c>
      <c r="J117">
        <v>1</v>
      </c>
      <c r="K117">
        <f t="shared" si="17"/>
        <v>1</v>
      </c>
      <c r="L117">
        <v>1</v>
      </c>
      <c r="M117">
        <f t="shared" si="18"/>
        <v>1</v>
      </c>
      <c r="N117">
        <v>1</v>
      </c>
      <c r="O117">
        <f t="shared" si="19"/>
        <v>1</v>
      </c>
    </row>
    <row r="118" spans="1:15" x14ac:dyDescent="0.25">
      <c r="A118" t="s">
        <v>42</v>
      </c>
      <c r="C118" t="s">
        <v>43</v>
      </c>
      <c r="G118">
        <v>1</v>
      </c>
      <c r="H118" t="s">
        <v>44</v>
      </c>
      <c r="J118">
        <v>0.85</v>
      </c>
      <c r="K118">
        <f t="shared" si="17"/>
        <v>0.85</v>
      </c>
      <c r="L118">
        <v>0.85</v>
      </c>
      <c r="M118">
        <f t="shared" si="18"/>
        <v>0.85</v>
      </c>
      <c r="N118">
        <v>0.85</v>
      </c>
      <c r="O118">
        <f t="shared" si="19"/>
        <v>0.85</v>
      </c>
    </row>
    <row r="119" spans="1:15" x14ac:dyDescent="0.25">
      <c r="A119" t="s">
        <v>45</v>
      </c>
      <c r="G119">
        <v>0</v>
      </c>
      <c r="H119" t="s">
        <v>46</v>
      </c>
      <c r="J119">
        <v>0</v>
      </c>
      <c r="K119">
        <v>0</v>
      </c>
      <c r="L119">
        <v>0</v>
      </c>
      <c r="M119">
        <f t="shared" si="18"/>
        <v>0</v>
      </c>
      <c r="N119">
        <v>0</v>
      </c>
      <c r="O119">
        <f t="shared" si="19"/>
        <v>0</v>
      </c>
    </row>
    <row r="120" spans="1:15" x14ac:dyDescent="0.25">
      <c r="A120" t="s">
        <v>47</v>
      </c>
      <c r="G120">
        <v>1</v>
      </c>
      <c r="H120" t="s">
        <v>41</v>
      </c>
      <c r="J120">
        <v>0</v>
      </c>
      <c r="K120">
        <v>0</v>
      </c>
      <c r="L120">
        <v>0</v>
      </c>
      <c r="M120">
        <f t="shared" si="18"/>
        <v>0</v>
      </c>
      <c r="N120">
        <v>0</v>
      </c>
      <c r="O120">
        <f t="shared" si="19"/>
        <v>0</v>
      </c>
    </row>
    <row r="121" spans="1:15" ht="18.75" x14ac:dyDescent="0.3">
      <c r="A121" s="8" t="s">
        <v>48</v>
      </c>
      <c r="B121" s="8"/>
      <c r="C121" s="8"/>
      <c r="D121" s="8"/>
      <c r="E121" s="8"/>
      <c r="F121" s="8"/>
      <c r="G121" s="8"/>
      <c r="H121" s="8"/>
      <c r="I121" s="8"/>
      <c r="J121" s="8"/>
      <c r="K121" s="8">
        <f>SUM(K115:K120)</f>
        <v>8.3780000000000001</v>
      </c>
      <c r="L121" s="8"/>
      <c r="M121" s="8">
        <f>SUM(M115:M120)</f>
        <v>8.3780000000000001</v>
      </c>
      <c r="N121" s="8"/>
      <c r="O121" s="8">
        <f>SUM(O115:O120)</f>
        <v>8.3780000000000001</v>
      </c>
    </row>
    <row r="122" spans="1:15" ht="18.75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x14ac:dyDescent="0.25">
      <c r="A123" t="s">
        <v>49</v>
      </c>
      <c r="K123">
        <v>0</v>
      </c>
      <c r="M123">
        <v>0</v>
      </c>
      <c r="O123">
        <v>0</v>
      </c>
    </row>
    <row r="124" spans="1:15" x14ac:dyDescent="0.25">
      <c r="A124" t="s">
        <v>50</v>
      </c>
      <c r="K124">
        <v>72</v>
      </c>
      <c r="M124">
        <v>72</v>
      </c>
      <c r="O124">
        <v>72</v>
      </c>
    </row>
    <row r="125" spans="1:15" ht="18.75" x14ac:dyDescent="0.3">
      <c r="A125" s="8" t="s">
        <v>51</v>
      </c>
      <c r="B125" s="8"/>
      <c r="C125" s="8"/>
      <c r="D125" s="8"/>
      <c r="E125" s="8"/>
      <c r="F125" s="8"/>
      <c r="G125" s="8"/>
      <c r="H125" s="8"/>
      <c r="I125" s="8"/>
      <c r="J125" s="8"/>
      <c r="K125" s="8">
        <f>K112+K121+K124</f>
        <v>231.59300000000002</v>
      </c>
      <c r="L125" s="8"/>
      <c r="M125" s="8">
        <f>M112+M121+M124</f>
        <v>231.59300000000002</v>
      </c>
      <c r="N125" s="8"/>
      <c r="O125" s="8">
        <f>O112+O121+O124</f>
        <v>299.93299999999999</v>
      </c>
    </row>
    <row r="126" spans="1:15" ht="18.75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25">
      <c r="A127" t="s">
        <v>52</v>
      </c>
      <c r="J127">
        <v>0.1</v>
      </c>
      <c r="K127">
        <f>K125*J127</f>
        <v>23.159300000000002</v>
      </c>
      <c r="L127">
        <v>0.1</v>
      </c>
      <c r="M127">
        <f>M125*L127</f>
        <v>23.159300000000002</v>
      </c>
      <c r="N127">
        <v>0.1</v>
      </c>
      <c r="O127">
        <f>O125*N127</f>
        <v>29.993300000000001</v>
      </c>
    </row>
    <row r="128" spans="1:15" x14ac:dyDescent="0.25">
      <c r="A128" t="s">
        <v>53</v>
      </c>
      <c r="K128">
        <f>SUM(K125:K127)</f>
        <v>254.75230000000002</v>
      </c>
      <c r="M128">
        <f>SUM(M125:M127)</f>
        <v>254.75230000000002</v>
      </c>
      <c r="O128">
        <f>SUM(O125:O127)</f>
        <v>329.92629999999997</v>
      </c>
    </row>
    <row r="129" spans="1:15" ht="21" x14ac:dyDescent="0.35">
      <c r="A129" s="10" t="s">
        <v>54</v>
      </c>
      <c r="B129" s="10"/>
      <c r="C129" s="10"/>
      <c r="D129" s="10"/>
      <c r="E129" s="10"/>
      <c r="F129" s="10"/>
      <c r="G129" s="10"/>
      <c r="H129" s="10"/>
      <c r="I129" s="10"/>
      <c r="J129" s="10">
        <v>72</v>
      </c>
      <c r="K129" s="10">
        <f>K128/J129</f>
        <v>3.538226388888889</v>
      </c>
      <c r="L129" s="10">
        <v>72</v>
      </c>
      <c r="M129" s="10">
        <f>M128/L129</f>
        <v>3.538226388888889</v>
      </c>
      <c r="N129" s="10">
        <v>72</v>
      </c>
      <c r="O129" s="10">
        <f>O128/N129</f>
        <v>4.582309722222222</v>
      </c>
    </row>
    <row r="131" spans="1:15" ht="23.25" x14ac:dyDescent="0.35">
      <c r="A131" s="1" t="s">
        <v>0</v>
      </c>
    </row>
    <row r="132" spans="1:15" ht="21" x14ac:dyDescent="0.35">
      <c r="A132" t="s">
        <v>1</v>
      </c>
      <c r="B132" s="2" t="s">
        <v>59</v>
      </c>
    </row>
    <row r="133" spans="1:15" x14ac:dyDescent="0.25">
      <c r="A133" t="s">
        <v>3</v>
      </c>
      <c r="B133" s="3">
        <v>44644</v>
      </c>
      <c r="F133" s="6"/>
      <c r="G133" s="6"/>
      <c r="J133" t="s">
        <v>4</v>
      </c>
      <c r="L133" t="s">
        <v>5</v>
      </c>
      <c r="N133" t="s">
        <v>6</v>
      </c>
    </row>
    <row r="134" spans="1:15" ht="37.5" x14ac:dyDescent="0.3">
      <c r="A134" s="4" t="s">
        <v>7</v>
      </c>
      <c r="B134" s="4"/>
      <c r="C134" s="4" t="s">
        <v>7</v>
      </c>
      <c r="D134" s="4" t="s">
        <v>8</v>
      </c>
      <c r="E134" s="4" t="s">
        <v>9</v>
      </c>
      <c r="F134" s="4" t="s">
        <v>10</v>
      </c>
      <c r="G134" s="5" t="s">
        <v>11</v>
      </c>
      <c r="H134" s="4" t="s">
        <v>12</v>
      </c>
      <c r="I134" s="4" t="s">
        <v>13</v>
      </c>
      <c r="J134" s="4" t="s">
        <v>14</v>
      </c>
      <c r="K134" s="4" t="s">
        <v>15</v>
      </c>
      <c r="L134" s="4" t="s">
        <v>14</v>
      </c>
      <c r="M134" s="4" t="s">
        <v>15</v>
      </c>
      <c r="N134" s="4" t="s">
        <v>16</v>
      </c>
      <c r="O134" s="4" t="s">
        <v>15</v>
      </c>
    </row>
    <row r="135" spans="1:15" x14ac:dyDescent="0.25">
      <c r="A135" t="s">
        <v>17</v>
      </c>
      <c r="C135" t="s">
        <v>18</v>
      </c>
      <c r="D135" t="s">
        <v>19</v>
      </c>
      <c r="F135" s="6">
        <v>0.02</v>
      </c>
      <c r="G135" s="7">
        <f>[1]Consumption!D14*(1+F135)</f>
        <v>1.3260000000000001</v>
      </c>
      <c r="H135" t="s">
        <v>20</v>
      </c>
      <c r="I135" t="s">
        <v>21</v>
      </c>
      <c r="J135">
        <v>56</v>
      </c>
      <c r="K135">
        <f>$G135*J135</f>
        <v>74.256</v>
      </c>
      <c r="L135">
        <v>56</v>
      </c>
      <c r="M135">
        <f>$G135*L135</f>
        <v>74.256</v>
      </c>
      <c r="N135">
        <v>123</v>
      </c>
      <c r="O135">
        <f>$G135*N135</f>
        <v>163.09800000000001</v>
      </c>
    </row>
    <row r="136" spans="1:15" x14ac:dyDescent="0.25">
      <c r="A136" t="s">
        <v>22</v>
      </c>
      <c r="C136" t="s">
        <v>23</v>
      </c>
      <c r="D136" t="s">
        <v>24</v>
      </c>
      <c r="F136" s="6">
        <v>0.02</v>
      </c>
      <c r="G136" s="7">
        <f>[1]Consumption!E14*(1+F136)</f>
        <v>0.35699999999999998</v>
      </c>
      <c r="H136" t="s">
        <v>20</v>
      </c>
      <c r="I136" t="s">
        <v>25</v>
      </c>
      <c r="J136">
        <v>70</v>
      </c>
      <c r="K136">
        <f t="shared" ref="K136:O137" si="20">$G136*J136</f>
        <v>24.99</v>
      </c>
      <c r="L136">
        <v>70</v>
      </c>
      <c r="M136">
        <f>G136*L136</f>
        <v>24.99</v>
      </c>
      <c r="N136">
        <v>70</v>
      </c>
      <c r="O136">
        <f>$G136*N136</f>
        <v>24.99</v>
      </c>
    </row>
    <row r="137" spans="1:15" x14ac:dyDescent="0.25">
      <c r="A137" t="s">
        <v>26</v>
      </c>
      <c r="C137" t="s">
        <v>27</v>
      </c>
      <c r="D137" t="s">
        <v>28</v>
      </c>
      <c r="F137" s="6">
        <v>0.02</v>
      </c>
      <c r="G137" s="7">
        <f>[1]Consumption!F14*(1+F137)</f>
        <v>51</v>
      </c>
      <c r="H137" t="s">
        <v>60</v>
      </c>
      <c r="I137" t="s">
        <v>30</v>
      </c>
      <c r="J137">
        <f>615/1000</f>
        <v>0.61499999999999999</v>
      </c>
      <c r="K137">
        <f t="shared" si="20"/>
        <v>31.364999999999998</v>
      </c>
      <c r="L137">
        <f>615/1000</f>
        <v>0.61499999999999999</v>
      </c>
      <c r="M137">
        <f t="shared" si="20"/>
        <v>31.364999999999998</v>
      </c>
      <c r="N137">
        <f>615/1000</f>
        <v>0.61499999999999999</v>
      </c>
      <c r="O137">
        <f t="shared" si="20"/>
        <v>31.364999999999998</v>
      </c>
    </row>
    <row r="138" spans="1:15" ht="18.75" x14ac:dyDescent="0.3">
      <c r="A138" s="8" t="s">
        <v>31</v>
      </c>
      <c r="B138" s="8"/>
      <c r="C138" s="8"/>
      <c r="D138" s="8"/>
      <c r="E138" s="8"/>
      <c r="F138" s="8"/>
      <c r="G138" s="8"/>
      <c r="H138" s="8"/>
      <c r="I138" s="8"/>
      <c r="J138" s="8"/>
      <c r="K138" s="8">
        <f>SUM(K135:K137)</f>
        <v>130.61099999999999</v>
      </c>
      <c r="L138" s="8"/>
      <c r="M138" s="8">
        <f>SUM(M135:M137)</f>
        <v>130.61099999999999</v>
      </c>
      <c r="N138" s="8"/>
      <c r="O138" s="8">
        <f>SUM(O135:O137)</f>
        <v>219.45300000000003</v>
      </c>
    </row>
    <row r="140" spans="1:15" ht="21" x14ac:dyDescent="0.35">
      <c r="A140" s="9" t="s">
        <v>32</v>
      </c>
    </row>
    <row r="141" spans="1:15" x14ac:dyDescent="0.25">
      <c r="A141" t="s">
        <v>33</v>
      </c>
      <c r="C141" t="s">
        <v>34</v>
      </c>
      <c r="G141">
        <v>200</v>
      </c>
      <c r="H141" t="s">
        <v>20</v>
      </c>
      <c r="J141">
        <v>3.1800000000000002E-2</v>
      </c>
      <c r="K141">
        <f t="shared" ref="K141:K144" si="21">$G141*J141</f>
        <v>6.36</v>
      </c>
      <c r="L141">
        <v>3.1800000000000002E-2</v>
      </c>
      <c r="M141">
        <f t="shared" ref="M141:M146" si="22">$G141*L141</f>
        <v>6.36</v>
      </c>
      <c r="N141">
        <v>3.1800000000000002E-2</v>
      </c>
      <c r="O141">
        <f t="shared" ref="O141:O146" si="23">$G141*N141</f>
        <v>6.36</v>
      </c>
    </row>
    <row r="142" spans="1:15" x14ac:dyDescent="0.25">
      <c r="A142" t="s">
        <v>35</v>
      </c>
      <c r="C142" t="s">
        <v>36</v>
      </c>
      <c r="E142" t="s">
        <v>37</v>
      </c>
      <c r="G142">
        <v>0.12</v>
      </c>
      <c r="H142" t="s">
        <v>38</v>
      </c>
      <c r="J142">
        <v>1.4</v>
      </c>
      <c r="K142">
        <f t="shared" si="21"/>
        <v>0.16799999999999998</v>
      </c>
      <c r="L142">
        <v>1.4</v>
      </c>
      <c r="M142">
        <f t="shared" si="22"/>
        <v>0.16799999999999998</v>
      </c>
      <c r="N142">
        <v>1.4</v>
      </c>
      <c r="O142">
        <f t="shared" si="23"/>
        <v>0.16799999999999998</v>
      </c>
    </row>
    <row r="143" spans="1:15" x14ac:dyDescent="0.25">
      <c r="A143" t="s">
        <v>39</v>
      </c>
      <c r="C143" t="s">
        <v>40</v>
      </c>
      <c r="G143">
        <v>1</v>
      </c>
      <c r="H143" t="s">
        <v>41</v>
      </c>
      <c r="J143">
        <v>1</v>
      </c>
      <c r="K143">
        <f t="shared" si="21"/>
        <v>1</v>
      </c>
      <c r="L143">
        <v>1</v>
      </c>
      <c r="M143">
        <f t="shared" si="22"/>
        <v>1</v>
      </c>
      <c r="N143">
        <v>1</v>
      </c>
      <c r="O143">
        <f t="shared" si="23"/>
        <v>1</v>
      </c>
    </row>
    <row r="144" spans="1:15" x14ac:dyDescent="0.25">
      <c r="A144" t="s">
        <v>42</v>
      </c>
      <c r="C144" t="s">
        <v>43</v>
      </c>
      <c r="G144">
        <v>1</v>
      </c>
      <c r="H144" t="s">
        <v>44</v>
      </c>
      <c r="J144">
        <v>0.85</v>
      </c>
      <c r="K144">
        <f t="shared" si="21"/>
        <v>0.85</v>
      </c>
      <c r="L144">
        <v>0.85</v>
      </c>
      <c r="M144">
        <f t="shared" si="22"/>
        <v>0.85</v>
      </c>
      <c r="N144">
        <v>0.85</v>
      </c>
      <c r="O144">
        <f t="shared" si="23"/>
        <v>0.85</v>
      </c>
    </row>
    <row r="145" spans="1:15" x14ac:dyDescent="0.25">
      <c r="A145" t="s">
        <v>45</v>
      </c>
      <c r="G145">
        <v>0</v>
      </c>
      <c r="H145" t="s">
        <v>46</v>
      </c>
      <c r="J145">
        <v>0</v>
      </c>
      <c r="K145">
        <v>0</v>
      </c>
      <c r="L145">
        <v>0</v>
      </c>
      <c r="M145">
        <f t="shared" si="22"/>
        <v>0</v>
      </c>
      <c r="N145">
        <v>0</v>
      </c>
      <c r="O145">
        <f t="shared" si="23"/>
        <v>0</v>
      </c>
    </row>
    <row r="146" spans="1:15" x14ac:dyDescent="0.25">
      <c r="A146" t="s">
        <v>47</v>
      </c>
      <c r="G146">
        <v>1</v>
      </c>
      <c r="H146" t="s">
        <v>41</v>
      </c>
      <c r="J146">
        <v>0</v>
      </c>
      <c r="K146">
        <v>0</v>
      </c>
      <c r="L146">
        <v>0</v>
      </c>
      <c r="M146">
        <f t="shared" si="22"/>
        <v>0</v>
      </c>
      <c r="N146">
        <v>0</v>
      </c>
      <c r="O146">
        <f t="shared" si="23"/>
        <v>0</v>
      </c>
    </row>
    <row r="147" spans="1:15" ht="18.75" x14ac:dyDescent="0.3">
      <c r="A147" s="8" t="s">
        <v>48</v>
      </c>
      <c r="B147" s="8"/>
      <c r="C147" s="8"/>
      <c r="D147" s="8"/>
      <c r="E147" s="8"/>
      <c r="F147" s="8"/>
      <c r="G147" s="8"/>
      <c r="H147" s="8"/>
      <c r="I147" s="8"/>
      <c r="J147" s="8"/>
      <c r="K147" s="8">
        <f>SUM(K141:K146)</f>
        <v>8.3780000000000001</v>
      </c>
      <c r="L147" s="8"/>
      <c r="M147" s="8">
        <f>SUM(M141:M146)</f>
        <v>8.3780000000000001</v>
      </c>
      <c r="N147" s="8"/>
      <c r="O147" s="8">
        <f>SUM(O141:O146)</f>
        <v>8.3780000000000001</v>
      </c>
    </row>
    <row r="148" spans="1:15" ht="18.75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25">
      <c r="A149" t="s">
        <v>49</v>
      </c>
      <c r="K149">
        <v>0</v>
      </c>
      <c r="M149">
        <v>0</v>
      </c>
      <c r="O149">
        <v>0</v>
      </c>
    </row>
    <row r="150" spans="1:15" x14ac:dyDescent="0.25">
      <c r="A150" t="s">
        <v>50</v>
      </c>
      <c r="K150">
        <v>55</v>
      </c>
      <c r="M150">
        <v>55</v>
      </c>
      <c r="O150">
        <v>55</v>
      </c>
    </row>
    <row r="151" spans="1:15" ht="18.75" x14ac:dyDescent="0.3">
      <c r="A151" s="8" t="s">
        <v>51</v>
      </c>
      <c r="B151" s="8"/>
      <c r="C151" s="8"/>
      <c r="D151" s="8"/>
      <c r="E151" s="8"/>
      <c r="F151" s="8"/>
      <c r="G151" s="8"/>
      <c r="H151" s="8"/>
      <c r="I151" s="8"/>
      <c r="J151" s="8"/>
      <c r="K151" s="8">
        <f>K138+K147+K150</f>
        <v>193.98899999999998</v>
      </c>
      <c r="L151" s="8"/>
      <c r="M151" s="8">
        <f>M138+M147+M150</f>
        <v>193.98899999999998</v>
      </c>
      <c r="N151" s="8"/>
      <c r="O151" s="8">
        <f>O138+O147+O150</f>
        <v>282.83100000000002</v>
      </c>
    </row>
    <row r="152" spans="1:15" ht="18.75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x14ac:dyDescent="0.25">
      <c r="A153" t="s">
        <v>52</v>
      </c>
      <c r="J153">
        <v>0.1</v>
      </c>
      <c r="K153">
        <f>K151*J153</f>
        <v>19.398899999999998</v>
      </c>
      <c r="L153">
        <v>0.1</v>
      </c>
      <c r="M153">
        <f>M151*L153</f>
        <v>19.398899999999998</v>
      </c>
      <c r="N153">
        <v>0.1</v>
      </c>
      <c r="O153">
        <f>O151*N153</f>
        <v>28.283100000000005</v>
      </c>
    </row>
    <row r="154" spans="1:15" x14ac:dyDescent="0.25">
      <c r="A154" t="s">
        <v>53</v>
      </c>
      <c r="K154">
        <f>SUM(K151:K153)</f>
        <v>213.38789999999997</v>
      </c>
      <c r="M154">
        <f>SUM(M151:M153)</f>
        <v>213.38789999999997</v>
      </c>
      <c r="O154">
        <f>SUM(O151:O153)</f>
        <v>311.11410000000001</v>
      </c>
    </row>
    <row r="155" spans="1:15" ht="18.75" x14ac:dyDescent="0.3">
      <c r="A155" s="11" t="s">
        <v>54</v>
      </c>
      <c r="B155" s="11"/>
      <c r="C155" s="11"/>
      <c r="D155" s="11"/>
      <c r="E155" s="11"/>
      <c r="F155" s="11"/>
      <c r="G155" s="11"/>
      <c r="H155" s="12"/>
      <c r="I155" s="11"/>
      <c r="J155" s="11">
        <v>72</v>
      </c>
      <c r="K155" s="11">
        <f>K154/J155</f>
        <v>2.9637208333333329</v>
      </c>
      <c r="L155" s="11">
        <v>72</v>
      </c>
      <c r="M155" s="11">
        <f>M154/L155</f>
        <v>2.9637208333333329</v>
      </c>
      <c r="N155" s="11">
        <v>72</v>
      </c>
      <c r="O155" s="11">
        <f>O154/N155</f>
        <v>4.3210291666666665</v>
      </c>
    </row>
    <row r="157" spans="1:15" ht="23.25" x14ac:dyDescent="0.35">
      <c r="A157" s="1" t="s">
        <v>0</v>
      </c>
    </row>
    <row r="158" spans="1:15" ht="21" x14ac:dyDescent="0.35">
      <c r="A158" t="s">
        <v>1</v>
      </c>
      <c r="B158" s="2" t="s">
        <v>61</v>
      </c>
    </row>
    <row r="159" spans="1:15" x14ac:dyDescent="0.25">
      <c r="A159" t="s">
        <v>3</v>
      </c>
      <c r="B159" s="3">
        <v>44644</v>
      </c>
      <c r="F159" s="6"/>
      <c r="G159" s="6"/>
      <c r="J159" t="s">
        <v>4</v>
      </c>
      <c r="L159" t="s">
        <v>5</v>
      </c>
      <c r="N159" t="s">
        <v>6</v>
      </c>
    </row>
    <row r="160" spans="1:15" ht="37.5" x14ac:dyDescent="0.3">
      <c r="A160" s="4" t="s">
        <v>7</v>
      </c>
      <c r="B160" s="4"/>
      <c r="C160" s="4" t="s">
        <v>7</v>
      </c>
      <c r="D160" s="4" t="s">
        <v>8</v>
      </c>
      <c r="E160" s="4" t="s">
        <v>9</v>
      </c>
      <c r="F160" s="4" t="s">
        <v>10</v>
      </c>
      <c r="G160" s="5" t="s">
        <v>11</v>
      </c>
      <c r="H160" s="4" t="s">
        <v>12</v>
      </c>
      <c r="I160" s="4" t="s">
        <v>13</v>
      </c>
      <c r="J160" s="4" t="s">
        <v>14</v>
      </c>
      <c r="K160" s="4" t="s">
        <v>15</v>
      </c>
      <c r="L160" s="4" t="s">
        <v>14</v>
      </c>
      <c r="M160" s="4" t="s">
        <v>15</v>
      </c>
      <c r="N160" s="4" t="s">
        <v>16</v>
      </c>
      <c r="O160" s="4" t="s">
        <v>15</v>
      </c>
    </row>
    <row r="161" spans="1:15" x14ac:dyDescent="0.25">
      <c r="A161" t="s">
        <v>17</v>
      </c>
      <c r="C161" t="s">
        <v>18</v>
      </c>
      <c r="D161" t="s">
        <v>19</v>
      </c>
      <c r="F161" s="6">
        <v>0.02</v>
      </c>
      <c r="G161" s="7">
        <f>[1]Consumption!D13*(1+F161)</f>
        <v>0.81600000000000006</v>
      </c>
      <c r="H161" t="s">
        <v>20</v>
      </c>
      <c r="I161" t="s">
        <v>21</v>
      </c>
      <c r="J161">
        <v>56</v>
      </c>
      <c r="K161">
        <f>$G161*J161</f>
        <v>45.696000000000005</v>
      </c>
      <c r="L161">
        <v>56</v>
      </c>
      <c r="M161">
        <f>$G161*L161</f>
        <v>45.696000000000005</v>
      </c>
      <c r="N161">
        <v>123</v>
      </c>
      <c r="O161">
        <f>$G161*N161</f>
        <v>100.36800000000001</v>
      </c>
    </row>
    <row r="162" spans="1:15" x14ac:dyDescent="0.25">
      <c r="A162" t="s">
        <v>22</v>
      </c>
      <c r="C162" t="s">
        <v>23</v>
      </c>
      <c r="D162" t="s">
        <v>24</v>
      </c>
      <c r="F162" s="6">
        <v>0.02</v>
      </c>
      <c r="G162" s="7">
        <f>[1]Consumption!E13*(1+F162)</f>
        <v>0.35699999999999998</v>
      </c>
      <c r="H162" t="s">
        <v>20</v>
      </c>
      <c r="I162" t="s">
        <v>25</v>
      </c>
      <c r="J162">
        <v>70</v>
      </c>
      <c r="K162">
        <f t="shared" ref="K162:K163" si="24">$G162*J162</f>
        <v>24.99</v>
      </c>
      <c r="L162">
        <v>70</v>
      </c>
      <c r="M162">
        <f>G162*L162</f>
        <v>24.99</v>
      </c>
      <c r="N162">
        <v>70</v>
      </c>
      <c r="O162">
        <f>$G162*N162</f>
        <v>24.99</v>
      </c>
    </row>
    <row r="163" spans="1:15" x14ac:dyDescent="0.25">
      <c r="A163" t="s">
        <v>26</v>
      </c>
      <c r="C163" t="s">
        <v>27</v>
      </c>
      <c r="D163" t="s">
        <v>28</v>
      </c>
      <c r="F163" s="6">
        <v>0.02</v>
      </c>
      <c r="G163" s="7">
        <f>[1]Consumption!F13*(1+F163)</f>
        <v>51</v>
      </c>
      <c r="H163" t="s">
        <v>60</v>
      </c>
      <c r="I163" t="s">
        <v>30</v>
      </c>
      <c r="J163">
        <f>615/1000</f>
        <v>0.61499999999999999</v>
      </c>
      <c r="K163">
        <f t="shared" si="24"/>
        <v>31.364999999999998</v>
      </c>
      <c r="L163">
        <f>615/1000</f>
        <v>0.61499999999999999</v>
      </c>
      <c r="M163">
        <f t="shared" ref="M163" si="25">$G163*L163</f>
        <v>31.364999999999998</v>
      </c>
      <c r="N163">
        <f>615/1000</f>
        <v>0.61499999999999999</v>
      </c>
      <c r="O163">
        <f t="shared" ref="O163" si="26">$G163*N163</f>
        <v>31.364999999999998</v>
      </c>
    </row>
    <row r="164" spans="1:15" ht="18.75" x14ac:dyDescent="0.3">
      <c r="A164" s="8" t="s">
        <v>31</v>
      </c>
      <c r="B164" s="8"/>
      <c r="C164" s="8"/>
      <c r="D164" s="8"/>
      <c r="E164" s="8"/>
      <c r="F164" s="8"/>
      <c r="G164" s="8"/>
      <c r="H164" s="8"/>
      <c r="I164" s="8"/>
      <c r="J164" s="8"/>
      <c r="K164" s="8">
        <f>SUM(K161:K163)</f>
        <v>102.051</v>
      </c>
      <c r="L164" s="8"/>
      <c r="M164" s="8">
        <f>SUM(M161:M163)</f>
        <v>102.051</v>
      </c>
      <c r="N164" s="8"/>
      <c r="O164" s="8">
        <f>SUM(O161:O163)</f>
        <v>156.72300000000001</v>
      </c>
    </row>
    <row r="166" spans="1:15" ht="21" x14ac:dyDescent="0.35">
      <c r="A166" s="9" t="s">
        <v>32</v>
      </c>
    </row>
    <row r="167" spans="1:15" x14ac:dyDescent="0.25">
      <c r="A167" t="s">
        <v>33</v>
      </c>
      <c r="C167" t="s">
        <v>34</v>
      </c>
      <c r="G167">
        <v>200</v>
      </c>
      <c r="H167" t="s">
        <v>20</v>
      </c>
      <c r="J167">
        <v>3.1800000000000002E-2</v>
      </c>
      <c r="K167">
        <f t="shared" ref="K167:K170" si="27">$G167*J167</f>
        <v>6.36</v>
      </c>
      <c r="L167">
        <v>3.1800000000000002E-2</v>
      </c>
      <c r="M167">
        <f t="shared" ref="M167:M172" si="28">$G167*L167</f>
        <v>6.36</v>
      </c>
      <c r="N167">
        <v>3.1800000000000002E-2</v>
      </c>
      <c r="O167">
        <f t="shared" ref="O167:O172" si="29">$G167*N167</f>
        <v>6.36</v>
      </c>
    </row>
    <row r="168" spans="1:15" x14ac:dyDescent="0.25">
      <c r="A168" t="s">
        <v>35</v>
      </c>
      <c r="C168" t="s">
        <v>36</v>
      </c>
      <c r="E168" t="s">
        <v>37</v>
      </c>
      <c r="G168">
        <v>0.12</v>
      </c>
      <c r="H168" t="s">
        <v>38</v>
      </c>
      <c r="J168">
        <v>1.4</v>
      </c>
      <c r="K168">
        <f t="shared" si="27"/>
        <v>0.16799999999999998</v>
      </c>
      <c r="L168">
        <v>1.4</v>
      </c>
      <c r="M168">
        <f t="shared" si="28"/>
        <v>0.16799999999999998</v>
      </c>
      <c r="N168">
        <v>1.4</v>
      </c>
      <c r="O168">
        <f t="shared" si="29"/>
        <v>0.16799999999999998</v>
      </c>
    </row>
    <row r="169" spans="1:15" x14ac:dyDescent="0.25">
      <c r="A169" t="s">
        <v>39</v>
      </c>
      <c r="C169" t="s">
        <v>40</v>
      </c>
      <c r="G169">
        <v>1</v>
      </c>
      <c r="H169" t="s">
        <v>41</v>
      </c>
      <c r="J169">
        <v>1</v>
      </c>
      <c r="K169">
        <f t="shared" si="27"/>
        <v>1</v>
      </c>
      <c r="L169">
        <v>1</v>
      </c>
      <c r="M169">
        <f t="shared" si="28"/>
        <v>1</v>
      </c>
      <c r="N169">
        <v>1</v>
      </c>
      <c r="O169">
        <f t="shared" si="29"/>
        <v>1</v>
      </c>
    </row>
    <row r="170" spans="1:15" x14ac:dyDescent="0.25">
      <c r="A170" t="s">
        <v>42</v>
      </c>
      <c r="C170" t="s">
        <v>43</v>
      </c>
      <c r="G170">
        <v>1</v>
      </c>
      <c r="H170" t="s">
        <v>44</v>
      </c>
      <c r="J170">
        <v>0.85</v>
      </c>
      <c r="K170">
        <f t="shared" si="27"/>
        <v>0.85</v>
      </c>
      <c r="L170">
        <v>0.85</v>
      </c>
      <c r="M170">
        <f t="shared" si="28"/>
        <v>0.85</v>
      </c>
      <c r="N170">
        <v>0.85</v>
      </c>
      <c r="O170">
        <f t="shared" si="29"/>
        <v>0.85</v>
      </c>
    </row>
    <row r="171" spans="1:15" x14ac:dyDescent="0.25">
      <c r="A171" t="s">
        <v>45</v>
      </c>
      <c r="G171">
        <v>0</v>
      </c>
      <c r="H171" t="s">
        <v>46</v>
      </c>
      <c r="J171">
        <v>0</v>
      </c>
      <c r="K171">
        <v>0</v>
      </c>
      <c r="L171">
        <v>0</v>
      </c>
      <c r="M171">
        <f t="shared" si="28"/>
        <v>0</v>
      </c>
      <c r="N171">
        <v>0</v>
      </c>
      <c r="O171">
        <f t="shared" si="29"/>
        <v>0</v>
      </c>
    </row>
    <row r="172" spans="1:15" x14ac:dyDescent="0.25">
      <c r="A172" t="s">
        <v>47</v>
      </c>
      <c r="G172">
        <v>1</v>
      </c>
      <c r="H172" t="s">
        <v>41</v>
      </c>
      <c r="J172">
        <v>0</v>
      </c>
      <c r="K172">
        <v>0</v>
      </c>
      <c r="L172">
        <v>0</v>
      </c>
      <c r="M172">
        <f t="shared" si="28"/>
        <v>0</v>
      </c>
      <c r="N172">
        <v>0</v>
      </c>
      <c r="O172">
        <f t="shared" si="29"/>
        <v>0</v>
      </c>
    </row>
    <row r="173" spans="1:15" ht="18.75" x14ac:dyDescent="0.3">
      <c r="A173" s="8" t="s">
        <v>48</v>
      </c>
      <c r="B173" s="8"/>
      <c r="C173" s="8"/>
      <c r="D173" s="8"/>
      <c r="E173" s="8"/>
      <c r="F173" s="8"/>
      <c r="G173" s="8"/>
      <c r="H173" s="8"/>
      <c r="I173" s="8"/>
      <c r="J173" s="8"/>
      <c r="K173" s="8">
        <f>SUM(K167:K172)</f>
        <v>8.3780000000000001</v>
      </c>
      <c r="L173" s="8"/>
      <c r="M173" s="8">
        <f>SUM(M167:M172)</f>
        <v>8.3780000000000001</v>
      </c>
      <c r="N173" s="8"/>
      <c r="O173" s="8">
        <f>SUM(O167:O172)</f>
        <v>8.3780000000000001</v>
      </c>
    </row>
    <row r="174" spans="1:15" ht="18.75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25">
      <c r="A175" t="s">
        <v>49</v>
      </c>
      <c r="K175">
        <v>0</v>
      </c>
      <c r="M175">
        <v>0</v>
      </c>
      <c r="O175">
        <v>0</v>
      </c>
    </row>
    <row r="176" spans="1:15" x14ac:dyDescent="0.25">
      <c r="A176" t="s">
        <v>50</v>
      </c>
      <c r="K176">
        <v>55</v>
      </c>
      <c r="M176">
        <v>55</v>
      </c>
      <c r="O176">
        <v>55</v>
      </c>
    </row>
    <row r="177" spans="1:15" ht="18.75" x14ac:dyDescent="0.3">
      <c r="A177" s="8" t="s">
        <v>51</v>
      </c>
      <c r="B177" s="8"/>
      <c r="C177" s="8"/>
      <c r="D177" s="8"/>
      <c r="E177" s="8"/>
      <c r="F177" s="8"/>
      <c r="G177" s="8"/>
      <c r="H177" s="8"/>
      <c r="I177" s="8"/>
      <c r="J177" s="8"/>
      <c r="K177" s="8">
        <f>K164+K173+K176</f>
        <v>165.429</v>
      </c>
      <c r="L177" s="8"/>
      <c r="M177" s="8">
        <f>M164+M173+M176</f>
        <v>165.429</v>
      </c>
      <c r="N177" s="8"/>
      <c r="O177" s="8">
        <f>O164+O173+O176</f>
        <v>220.101</v>
      </c>
    </row>
    <row r="178" spans="1:15" ht="18.75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x14ac:dyDescent="0.25">
      <c r="A179" t="s">
        <v>52</v>
      </c>
      <c r="J179">
        <v>0.1</v>
      </c>
      <c r="K179">
        <f>K177*J179</f>
        <v>16.542899999999999</v>
      </c>
      <c r="L179">
        <v>0.1</v>
      </c>
      <c r="M179">
        <f>M177*L179</f>
        <v>16.542899999999999</v>
      </c>
      <c r="N179">
        <v>0.1</v>
      </c>
      <c r="O179">
        <f>O177*N179</f>
        <v>22.010100000000001</v>
      </c>
    </row>
    <row r="180" spans="1:15" x14ac:dyDescent="0.25">
      <c r="A180" t="s">
        <v>53</v>
      </c>
      <c r="K180">
        <f>SUM(K177:K179)</f>
        <v>181.97190000000001</v>
      </c>
      <c r="M180">
        <f>SUM(M177:M179)</f>
        <v>181.97190000000001</v>
      </c>
      <c r="O180">
        <f>SUM(O177:O179)</f>
        <v>242.11109999999999</v>
      </c>
    </row>
    <row r="181" spans="1:15" ht="18.75" x14ac:dyDescent="0.3">
      <c r="A181" s="11" t="s">
        <v>54</v>
      </c>
      <c r="B181" s="11"/>
      <c r="C181" s="11"/>
      <c r="D181" s="11"/>
      <c r="E181" s="11"/>
      <c r="F181" s="11"/>
      <c r="G181" s="11"/>
      <c r="H181" s="12"/>
      <c r="I181" s="11"/>
      <c r="J181" s="11">
        <v>72</v>
      </c>
      <c r="K181" s="11">
        <f>K180/J181</f>
        <v>2.5273875000000001</v>
      </c>
      <c r="L181" s="11">
        <v>72</v>
      </c>
      <c r="M181" s="11">
        <f>M180/L181</f>
        <v>2.5273875000000001</v>
      </c>
      <c r="N181" s="11">
        <v>72</v>
      </c>
      <c r="O181" s="11">
        <f>O180/N181</f>
        <v>3.3626541666666667</v>
      </c>
    </row>
    <row r="183" spans="1:15" ht="23.25" x14ac:dyDescent="0.35">
      <c r="A183" s="1" t="s">
        <v>0</v>
      </c>
    </row>
    <row r="184" spans="1:15" ht="21" x14ac:dyDescent="0.35">
      <c r="A184" t="s">
        <v>1</v>
      </c>
      <c r="B184" s="2" t="s">
        <v>62</v>
      </c>
    </row>
    <row r="185" spans="1:15" x14ac:dyDescent="0.25">
      <c r="A185" t="s">
        <v>3</v>
      </c>
      <c r="B185" s="3">
        <v>44644</v>
      </c>
      <c r="F185" s="6"/>
      <c r="G185" s="6"/>
      <c r="J185" t="s">
        <v>4</v>
      </c>
      <c r="L185" t="s">
        <v>5</v>
      </c>
      <c r="N185" t="s">
        <v>6</v>
      </c>
    </row>
    <row r="186" spans="1:15" ht="37.5" x14ac:dyDescent="0.3">
      <c r="A186" s="4" t="s">
        <v>7</v>
      </c>
      <c r="B186" s="4"/>
      <c r="C186" s="4" t="s">
        <v>7</v>
      </c>
      <c r="D186" s="4" t="s">
        <v>8</v>
      </c>
      <c r="E186" s="4" t="s">
        <v>9</v>
      </c>
      <c r="F186" s="4" t="s">
        <v>10</v>
      </c>
      <c r="G186" s="5" t="s">
        <v>11</v>
      </c>
      <c r="H186" s="4" t="s">
        <v>12</v>
      </c>
      <c r="I186" s="4" t="s">
        <v>13</v>
      </c>
      <c r="J186" s="4" t="s">
        <v>14</v>
      </c>
      <c r="K186" s="4" t="s">
        <v>15</v>
      </c>
      <c r="L186" s="4" t="s">
        <v>14</v>
      </c>
      <c r="M186" s="4" t="s">
        <v>15</v>
      </c>
      <c r="N186" s="4" t="s">
        <v>16</v>
      </c>
      <c r="O186" s="4" t="s">
        <v>15</v>
      </c>
    </row>
    <row r="187" spans="1:15" x14ac:dyDescent="0.25">
      <c r="A187" t="s">
        <v>17</v>
      </c>
      <c r="C187" t="s">
        <v>18</v>
      </c>
      <c r="D187" t="s">
        <v>19</v>
      </c>
      <c r="F187" s="6">
        <v>0.02</v>
      </c>
      <c r="G187" s="7">
        <f>[1]Consumption!D9*(1+F187)</f>
        <v>1.1220000000000001</v>
      </c>
      <c r="H187" t="s">
        <v>20</v>
      </c>
      <c r="I187" t="s">
        <v>21</v>
      </c>
      <c r="J187">
        <v>56</v>
      </c>
      <c r="K187">
        <f>$G187*J187</f>
        <v>62.832000000000008</v>
      </c>
      <c r="L187">
        <v>56</v>
      </c>
      <c r="M187">
        <f>$G187*L187</f>
        <v>62.832000000000008</v>
      </c>
      <c r="N187">
        <v>123</v>
      </c>
      <c r="O187">
        <f>$G187*N187</f>
        <v>138.006</v>
      </c>
    </row>
    <row r="188" spans="1:15" x14ac:dyDescent="0.25">
      <c r="A188" t="s">
        <v>22</v>
      </c>
      <c r="C188" t="s">
        <v>23</v>
      </c>
      <c r="D188" t="s">
        <v>24</v>
      </c>
      <c r="F188" s="6">
        <v>0.02</v>
      </c>
      <c r="G188" s="7">
        <f>[1]Consumption!E9*(1+F188)</f>
        <v>0.35699999999999998</v>
      </c>
      <c r="H188" t="s">
        <v>20</v>
      </c>
      <c r="I188" t="s">
        <v>25</v>
      </c>
      <c r="J188">
        <v>70</v>
      </c>
      <c r="K188">
        <f t="shared" ref="K188:K189" si="30">$G188*J188</f>
        <v>24.99</v>
      </c>
      <c r="L188">
        <v>70</v>
      </c>
      <c r="M188">
        <f>G188*L188</f>
        <v>24.99</v>
      </c>
      <c r="N188">
        <v>70</v>
      </c>
      <c r="O188">
        <f>$G188*N188</f>
        <v>24.99</v>
      </c>
    </row>
    <row r="189" spans="1:15" x14ac:dyDescent="0.25">
      <c r="A189" t="s">
        <v>26</v>
      </c>
      <c r="C189" t="s">
        <v>27</v>
      </c>
      <c r="D189" t="s">
        <v>28</v>
      </c>
      <c r="F189" s="6">
        <v>0.02</v>
      </c>
      <c r="G189" s="7">
        <f>[1]Consumption!F9*(1+F189)</f>
        <v>61.2</v>
      </c>
      <c r="H189" t="s">
        <v>60</v>
      </c>
      <c r="I189" t="s">
        <v>30</v>
      </c>
      <c r="J189">
        <f>615/1000</f>
        <v>0.61499999999999999</v>
      </c>
      <c r="K189">
        <f t="shared" si="30"/>
        <v>37.637999999999998</v>
      </c>
      <c r="L189">
        <f>615/1000</f>
        <v>0.61499999999999999</v>
      </c>
      <c r="M189">
        <f t="shared" ref="M189" si="31">$G189*L189</f>
        <v>37.637999999999998</v>
      </c>
      <c r="N189">
        <f>615/1000</f>
        <v>0.61499999999999999</v>
      </c>
      <c r="O189">
        <f t="shared" ref="O189" si="32">$G189*N189</f>
        <v>37.637999999999998</v>
      </c>
    </row>
    <row r="190" spans="1:15" ht="18.75" x14ac:dyDescent="0.3">
      <c r="A190" s="8" t="s">
        <v>31</v>
      </c>
      <c r="B190" s="8"/>
      <c r="C190" s="8"/>
      <c r="D190" s="8"/>
      <c r="E190" s="8"/>
      <c r="F190" s="8"/>
      <c r="G190" s="8"/>
      <c r="H190" s="8"/>
      <c r="I190" s="8"/>
      <c r="J190" s="8"/>
      <c r="K190" s="8">
        <f>SUM(K187:K189)</f>
        <v>125.46000000000001</v>
      </c>
      <c r="L190" s="8"/>
      <c r="M190" s="8">
        <f>SUM(M187:M189)</f>
        <v>125.46000000000001</v>
      </c>
      <c r="N190" s="8"/>
      <c r="O190" s="8">
        <f>SUM(O187:O189)</f>
        <v>200.63400000000001</v>
      </c>
    </row>
    <row r="192" spans="1:15" ht="21" x14ac:dyDescent="0.35">
      <c r="A192" s="9" t="s">
        <v>32</v>
      </c>
    </row>
    <row r="193" spans="1:15" x14ac:dyDescent="0.25">
      <c r="A193" t="s">
        <v>33</v>
      </c>
      <c r="C193" t="s">
        <v>34</v>
      </c>
      <c r="G193">
        <v>200</v>
      </c>
      <c r="H193" t="s">
        <v>20</v>
      </c>
      <c r="J193">
        <v>3.1800000000000002E-2</v>
      </c>
      <c r="K193">
        <f t="shared" ref="K193:K196" si="33">$G193*J193</f>
        <v>6.36</v>
      </c>
      <c r="L193">
        <v>3.1800000000000002E-2</v>
      </c>
      <c r="M193">
        <f t="shared" ref="M193:M198" si="34">$G193*L193</f>
        <v>6.36</v>
      </c>
      <c r="N193">
        <v>3.1800000000000002E-2</v>
      </c>
      <c r="O193">
        <f t="shared" ref="O193:O198" si="35">$G193*N193</f>
        <v>6.36</v>
      </c>
    </row>
    <row r="194" spans="1:15" x14ac:dyDescent="0.25">
      <c r="A194" t="s">
        <v>35</v>
      </c>
      <c r="C194" t="s">
        <v>36</v>
      </c>
      <c r="E194" t="s">
        <v>37</v>
      </c>
      <c r="G194">
        <v>0.12</v>
      </c>
      <c r="H194" t="s">
        <v>38</v>
      </c>
      <c r="J194">
        <v>1.4</v>
      </c>
      <c r="K194">
        <f t="shared" si="33"/>
        <v>0.16799999999999998</v>
      </c>
      <c r="L194">
        <v>1.4</v>
      </c>
      <c r="M194">
        <f t="shared" si="34"/>
        <v>0.16799999999999998</v>
      </c>
      <c r="N194">
        <v>1.4</v>
      </c>
      <c r="O194">
        <f t="shared" si="35"/>
        <v>0.16799999999999998</v>
      </c>
    </row>
    <row r="195" spans="1:15" x14ac:dyDescent="0.25">
      <c r="A195" t="s">
        <v>39</v>
      </c>
      <c r="C195" t="s">
        <v>40</v>
      </c>
      <c r="G195">
        <v>1</v>
      </c>
      <c r="H195" t="s">
        <v>41</v>
      </c>
      <c r="J195">
        <v>1</v>
      </c>
      <c r="K195">
        <f t="shared" si="33"/>
        <v>1</v>
      </c>
      <c r="L195">
        <v>1</v>
      </c>
      <c r="M195">
        <f t="shared" si="34"/>
        <v>1</v>
      </c>
      <c r="N195">
        <v>1</v>
      </c>
      <c r="O195">
        <f t="shared" si="35"/>
        <v>1</v>
      </c>
    </row>
    <row r="196" spans="1:15" x14ac:dyDescent="0.25">
      <c r="A196" t="s">
        <v>42</v>
      </c>
      <c r="C196" t="s">
        <v>43</v>
      </c>
      <c r="G196">
        <v>1</v>
      </c>
      <c r="H196" t="s">
        <v>44</v>
      </c>
      <c r="J196">
        <v>0.85</v>
      </c>
      <c r="K196">
        <f t="shared" si="33"/>
        <v>0.85</v>
      </c>
      <c r="L196">
        <v>0.85</v>
      </c>
      <c r="M196">
        <f t="shared" si="34"/>
        <v>0.85</v>
      </c>
      <c r="N196">
        <v>0.85</v>
      </c>
      <c r="O196">
        <f t="shared" si="35"/>
        <v>0.85</v>
      </c>
    </row>
    <row r="197" spans="1:15" x14ac:dyDescent="0.25">
      <c r="A197" t="s">
        <v>45</v>
      </c>
      <c r="G197">
        <v>0</v>
      </c>
      <c r="H197" t="s">
        <v>46</v>
      </c>
      <c r="J197">
        <v>0</v>
      </c>
      <c r="K197">
        <v>0</v>
      </c>
      <c r="L197">
        <v>0</v>
      </c>
      <c r="M197">
        <f t="shared" si="34"/>
        <v>0</v>
      </c>
      <c r="N197">
        <v>0</v>
      </c>
      <c r="O197">
        <f t="shared" si="35"/>
        <v>0</v>
      </c>
    </row>
    <row r="198" spans="1:15" x14ac:dyDescent="0.25">
      <c r="A198" t="s">
        <v>47</v>
      </c>
      <c r="G198">
        <v>1</v>
      </c>
      <c r="H198" t="s">
        <v>41</v>
      </c>
      <c r="J198">
        <v>0</v>
      </c>
      <c r="K198">
        <v>0</v>
      </c>
      <c r="L198">
        <v>0</v>
      </c>
      <c r="M198">
        <f t="shared" si="34"/>
        <v>0</v>
      </c>
      <c r="N198">
        <v>0</v>
      </c>
      <c r="O198">
        <f t="shared" si="35"/>
        <v>0</v>
      </c>
    </row>
    <row r="199" spans="1:15" ht="18.75" x14ac:dyDescent="0.3">
      <c r="A199" s="8" t="s">
        <v>48</v>
      </c>
      <c r="B199" s="8"/>
      <c r="C199" s="8"/>
      <c r="D199" s="8"/>
      <c r="E199" s="8"/>
      <c r="F199" s="8"/>
      <c r="G199" s="8"/>
      <c r="H199" s="8"/>
      <c r="I199" s="8"/>
      <c r="J199" s="8"/>
      <c r="K199" s="8">
        <f>SUM(K193:K198)</f>
        <v>8.3780000000000001</v>
      </c>
      <c r="L199" s="8"/>
      <c r="M199" s="8">
        <f>SUM(M193:M198)</f>
        <v>8.3780000000000001</v>
      </c>
      <c r="N199" s="8"/>
      <c r="O199" s="8">
        <f>SUM(O193:O198)</f>
        <v>8.3780000000000001</v>
      </c>
    </row>
    <row r="200" spans="1:15" ht="18.75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x14ac:dyDescent="0.25">
      <c r="A201" t="s">
        <v>49</v>
      </c>
      <c r="K201">
        <v>0</v>
      </c>
      <c r="M201">
        <v>0</v>
      </c>
      <c r="O201">
        <v>0</v>
      </c>
    </row>
    <row r="202" spans="1:15" x14ac:dyDescent="0.25">
      <c r="A202" t="s">
        <v>50</v>
      </c>
      <c r="K202">
        <v>55</v>
      </c>
      <c r="M202">
        <v>55</v>
      </c>
      <c r="O202">
        <v>55</v>
      </c>
    </row>
    <row r="203" spans="1:15" ht="18.75" x14ac:dyDescent="0.3">
      <c r="A203" s="8" t="s">
        <v>51</v>
      </c>
      <c r="B203" s="8"/>
      <c r="C203" s="8"/>
      <c r="D203" s="8"/>
      <c r="E203" s="8"/>
      <c r="F203" s="8"/>
      <c r="G203" s="8"/>
      <c r="H203" s="8"/>
      <c r="I203" s="8"/>
      <c r="J203" s="8"/>
      <c r="K203" s="8">
        <f>K190+K199+K202</f>
        <v>188.83800000000002</v>
      </c>
      <c r="L203" s="8"/>
      <c r="M203" s="8">
        <f>M190+M199+M202</f>
        <v>188.83800000000002</v>
      </c>
      <c r="N203" s="8"/>
      <c r="O203" s="8">
        <f>O190+O199+O202</f>
        <v>264.012</v>
      </c>
    </row>
    <row r="204" spans="1:15" ht="18.75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25">
      <c r="A205" t="s">
        <v>52</v>
      </c>
      <c r="J205">
        <v>0.1</v>
      </c>
      <c r="K205">
        <f>K203*J205</f>
        <v>18.883800000000004</v>
      </c>
      <c r="L205">
        <v>0.1</v>
      </c>
      <c r="M205">
        <f>M203*L205</f>
        <v>18.883800000000004</v>
      </c>
      <c r="N205">
        <v>0.1</v>
      </c>
      <c r="O205">
        <f>O203*N205</f>
        <v>26.401200000000003</v>
      </c>
    </row>
    <row r="206" spans="1:15" x14ac:dyDescent="0.25">
      <c r="A206" t="s">
        <v>53</v>
      </c>
      <c r="K206">
        <f>SUM(K203:K205)</f>
        <v>207.72180000000003</v>
      </c>
      <c r="M206">
        <f>SUM(M203:M205)</f>
        <v>207.72180000000003</v>
      </c>
      <c r="O206">
        <f>SUM(O203:O205)</f>
        <v>290.41320000000002</v>
      </c>
    </row>
    <row r="207" spans="1:15" ht="18.75" x14ac:dyDescent="0.3">
      <c r="A207" s="11" t="s">
        <v>54</v>
      </c>
      <c r="B207" s="11"/>
      <c r="C207" s="11"/>
      <c r="D207" s="11"/>
      <c r="E207" s="11"/>
      <c r="F207" s="11"/>
      <c r="G207" s="11"/>
      <c r="H207" s="12"/>
      <c r="I207" s="11"/>
      <c r="J207" s="11">
        <v>72</v>
      </c>
      <c r="K207" s="11">
        <f>K206/J207</f>
        <v>2.8850250000000006</v>
      </c>
      <c r="L207" s="11">
        <v>72</v>
      </c>
      <c r="M207" s="11">
        <f>M206/L207</f>
        <v>2.8850250000000006</v>
      </c>
      <c r="N207" s="11">
        <v>72</v>
      </c>
      <c r="O207" s="11">
        <f>O206/N207</f>
        <v>4.0335166666666673</v>
      </c>
    </row>
    <row r="209" spans="1:15" ht="23.25" x14ac:dyDescent="0.35">
      <c r="A209" s="1" t="s">
        <v>0</v>
      </c>
    </row>
    <row r="210" spans="1:15" ht="21" x14ac:dyDescent="0.35">
      <c r="A210" t="s">
        <v>1</v>
      </c>
      <c r="B210" s="2" t="s">
        <v>63</v>
      </c>
    </row>
    <row r="211" spans="1:15" x14ac:dyDescent="0.25">
      <c r="A211" t="s">
        <v>3</v>
      </c>
      <c r="B211" s="3">
        <v>44644</v>
      </c>
      <c r="F211" s="6"/>
      <c r="G211" s="6"/>
      <c r="J211" t="s">
        <v>4</v>
      </c>
      <c r="L211" t="s">
        <v>5</v>
      </c>
      <c r="N211" t="s">
        <v>6</v>
      </c>
    </row>
    <row r="212" spans="1:15" ht="37.5" x14ac:dyDescent="0.3">
      <c r="A212" s="4" t="s">
        <v>7</v>
      </c>
      <c r="B212" s="4"/>
      <c r="C212" s="4" t="s">
        <v>7</v>
      </c>
      <c r="D212" s="4" t="s">
        <v>8</v>
      </c>
      <c r="E212" s="4" t="s">
        <v>9</v>
      </c>
      <c r="F212" s="4" t="s">
        <v>10</v>
      </c>
      <c r="G212" s="5" t="s">
        <v>11</v>
      </c>
      <c r="H212" s="4" t="s">
        <v>12</v>
      </c>
      <c r="I212" s="4" t="s">
        <v>13</v>
      </c>
      <c r="J212" s="4" t="s">
        <v>14</v>
      </c>
      <c r="K212" s="4" t="s">
        <v>15</v>
      </c>
      <c r="L212" s="4" t="s">
        <v>14</v>
      </c>
      <c r="M212" s="4" t="s">
        <v>15</v>
      </c>
      <c r="N212" s="4" t="s">
        <v>16</v>
      </c>
      <c r="O212" s="4" t="s">
        <v>15</v>
      </c>
    </row>
    <row r="213" spans="1:15" x14ac:dyDescent="0.25">
      <c r="A213" t="s">
        <v>17</v>
      </c>
      <c r="C213" t="s">
        <v>18</v>
      </c>
      <c r="D213" t="s">
        <v>19</v>
      </c>
      <c r="F213" s="6">
        <v>0.02</v>
      </c>
      <c r="G213" s="7">
        <f>[1]Consumption!D10*(1+F213)</f>
        <v>1.224</v>
      </c>
      <c r="H213" t="s">
        <v>20</v>
      </c>
      <c r="I213" t="s">
        <v>21</v>
      </c>
      <c r="J213">
        <v>56</v>
      </c>
      <c r="K213">
        <f>$G213*J213</f>
        <v>68.543999999999997</v>
      </c>
      <c r="L213">
        <v>56</v>
      </c>
      <c r="M213">
        <f>$G213*L213</f>
        <v>68.543999999999997</v>
      </c>
      <c r="N213">
        <v>123</v>
      </c>
      <c r="O213">
        <f>$G213*N213</f>
        <v>150.55199999999999</v>
      </c>
    </row>
    <row r="214" spans="1:15" x14ac:dyDescent="0.25">
      <c r="A214" t="s">
        <v>22</v>
      </c>
      <c r="C214" t="s">
        <v>23</v>
      </c>
      <c r="D214" t="s">
        <v>24</v>
      </c>
      <c r="F214" s="6">
        <v>0.02</v>
      </c>
      <c r="G214" s="7">
        <f>[1]Consumption!E10*(1+F214)</f>
        <v>0.35699999999999998</v>
      </c>
      <c r="H214" t="s">
        <v>20</v>
      </c>
      <c r="I214" t="s">
        <v>25</v>
      </c>
      <c r="J214">
        <v>70</v>
      </c>
      <c r="K214">
        <f t="shared" ref="K214:K215" si="36">$G214*J214</f>
        <v>24.99</v>
      </c>
      <c r="L214">
        <v>70</v>
      </c>
      <c r="M214">
        <f>G214*L214</f>
        <v>24.99</v>
      </c>
      <c r="N214">
        <v>70</v>
      </c>
      <c r="O214">
        <f>$G214*N214</f>
        <v>24.99</v>
      </c>
    </row>
    <row r="215" spans="1:15" x14ac:dyDescent="0.25">
      <c r="A215" t="s">
        <v>26</v>
      </c>
      <c r="C215" t="s">
        <v>27</v>
      </c>
      <c r="D215" t="s">
        <v>28</v>
      </c>
      <c r="F215" s="6">
        <v>0.02</v>
      </c>
      <c r="G215" s="7">
        <f>[1]Consumption!F10*(1+F215)</f>
        <v>91.8</v>
      </c>
      <c r="H215" t="s">
        <v>60</v>
      </c>
      <c r="I215" t="s">
        <v>30</v>
      </c>
      <c r="J215">
        <f>615/1000</f>
        <v>0.61499999999999999</v>
      </c>
      <c r="K215">
        <f t="shared" si="36"/>
        <v>56.457000000000001</v>
      </c>
      <c r="L215">
        <f>615/1000</f>
        <v>0.61499999999999999</v>
      </c>
      <c r="M215">
        <f t="shared" ref="M215" si="37">$G215*L215</f>
        <v>56.457000000000001</v>
      </c>
      <c r="N215">
        <f>615/1000</f>
        <v>0.61499999999999999</v>
      </c>
      <c r="O215">
        <f t="shared" ref="O215" si="38">$G215*N215</f>
        <v>56.457000000000001</v>
      </c>
    </row>
    <row r="216" spans="1:15" ht="18.75" x14ac:dyDescent="0.3">
      <c r="A216" s="8" t="s">
        <v>31</v>
      </c>
      <c r="B216" s="8"/>
      <c r="C216" s="8"/>
      <c r="D216" s="8"/>
      <c r="E216" s="8"/>
      <c r="F216" s="8"/>
      <c r="G216" s="8"/>
      <c r="H216" s="8"/>
      <c r="I216" s="8"/>
      <c r="J216" s="8"/>
      <c r="K216" s="8">
        <f>SUM(K213:K215)</f>
        <v>149.99099999999999</v>
      </c>
      <c r="L216" s="8"/>
      <c r="M216" s="8">
        <f>SUM(M213:M215)</f>
        <v>149.99099999999999</v>
      </c>
      <c r="N216" s="8"/>
      <c r="O216" s="8">
        <f>SUM(O213:O215)</f>
        <v>231.999</v>
      </c>
    </row>
    <row r="218" spans="1:15" ht="21" x14ac:dyDescent="0.35">
      <c r="A218" s="9" t="s">
        <v>32</v>
      </c>
    </row>
    <row r="219" spans="1:15" x14ac:dyDescent="0.25">
      <c r="A219" t="s">
        <v>33</v>
      </c>
      <c r="C219" t="s">
        <v>34</v>
      </c>
      <c r="G219">
        <v>200</v>
      </c>
      <c r="H219" t="s">
        <v>20</v>
      </c>
      <c r="J219">
        <v>3.1800000000000002E-2</v>
      </c>
      <c r="K219">
        <f t="shared" ref="K219:K222" si="39">$G219*J219</f>
        <v>6.36</v>
      </c>
      <c r="L219">
        <v>3.1800000000000002E-2</v>
      </c>
      <c r="M219">
        <f t="shared" ref="M219:M224" si="40">$G219*L219</f>
        <v>6.36</v>
      </c>
      <c r="N219">
        <v>3.1800000000000002E-2</v>
      </c>
      <c r="O219">
        <f t="shared" ref="O219:O224" si="41">$G219*N219</f>
        <v>6.36</v>
      </c>
    </row>
    <row r="220" spans="1:15" x14ac:dyDescent="0.25">
      <c r="A220" t="s">
        <v>35</v>
      </c>
      <c r="C220" t="s">
        <v>36</v>
      </c>
      <c r="E220" t="s">
        <v>37</v>
      </c>
      <c r="G220">
        <v>0.12</v>
      </c>
      <c r="H220" t="s">
        <v>38</v>
      </c>
      <c r="J220">
        <v>1.4</v>
      </c>
      <c r="K220">
        <f t="shared" si="39"/>
        <v>0.16799999999999998</v>
      </c>
      <c r="L220">
        <v>1.4</v>
      </c>
      <c r="M220">
        <f t="shared" si="40"/>
        <v>0.16799999999999998</v>
      </c>
      <c r="N220">
        <v>1.4</v>
      </c>
      <c r="O220">
        <f t="shared" si="41"/>
        <v>0.16799999999999998</v>
      </c>
    </row>
    <row r="221" spans="1:15" x14ac:dyDescent="0.25">
      <c r="A221" t="s">
        <v>39</v>
      </c>
      <c r="C221" t="s">
        <v>40</v>
      </c>
      <c r="G221">
        <v>1</v>
      </c>
      <c r="H221" t="s">
        <v>41</v>
      </c>
      <c r="J221">
        <v>1</v>
      </c>
      <c r="K221">
        <f t="shared" si="39"/>
        <v>1</v>
      </c>
      <c r="L221">
        <v>1</v>
      </c>
      <c r="M221">
        <f t="shared" si="40"/>
        <v>1</v>
      </c>
      <c r="N221">
        <v>1</v>
      </c>
      <c r="O221">
        <f t="shared" si="41"/>
        <v>1</v>
      </c>
    </row>
    <row r="222" spans="1:15" x14ac:dyDescent="0.25">
      <c r="A222" t="s">
        <v>42</v>
      </c>
      <c r="C222" t="s">
        <v>43</v>
      </c>
      <c r="G222">
        <v>1</v>
      </c>
      <c r="H222" t="s">
        <v>44</v>
      </c>
      <c r="J222">
        <v>0.85</v>
      </c>
      <c r="K222">
        <f t="shared" si="39"/>
        <v>0.85</v>
      </c>
      <c r="L222">
        <v>0.85</v>
      </c>
      <c r="M222">
        <f t="shared" si="40"/>
        <v>0.85</v>
      </c>
      <c r="N222">
        <v>0.85</v>
      </c>
      <c r="O222">
        <f t="shared" si="41"/>
        <v>0.85</v>
      </c>
    </row>
    <row r="223" spans="1:15" x14ac:dyDescent="0.25">
      <c r="A223" t="s">
        <v>45</v>
      </c>
      <c r="G223">
        <v>0</v>
      </c>
      <c r="H223" t="s">
        <v>46</v>
      </c>
      <c r="J223">
        <v>0</v>
      </c>
      <c r="K223">
        <v>0</v>
      </c>
      <c r="L223">
        <v>0</v>
      </c>
      <c r="M223">
        <f t="shared" si="40"/>
        <v>0</v>
      </c>
      <c r="N223">
        <v>0</v>
      </c>
      <c r="O223">
        <f t="shared" si="41"/>
        <v>0</v>
      </c>
    </row>
    <row r="224" spans="1:15" x14ac:dyDescent="0.25">
      <c r="A224" t="s">
        <v>47</v>
      </c>
      <c r="G224">
        <v>1</v>
      </c>
      <c r="H224" t="s">
        <v>41</v>
      </c>
      <c r="J224">
        <v>0</v>
      </c>
      <c r="K224">
        <v>0</v>
      </c>
      <c r="L224">
        <v>0</v>
      </c>
      <c r="M224">
        <f t="shared" si="40"/>
        <v>0</v>
      </c>
      <c r="N224">
        <v>0</v>
      </c>
      <c r="O224">
        <f t="shared" si="41"/>
        <v>0</v>
      </c>
    </row>
    <row r="225" spans="1:15" ht="18.75" x14ac:dyDescent="0.3">
      <c r="A225" s="8" t="s">
        <v>48</v>
      </c>
      <c r="B225" s="8"/>
      <c r="C225" s="8"/>
      <c r="D225" s="8"/>
      <c r="E225" s="8"/>
      <c r="F225" s="8"/>
      <c r="G225" s="8"/>
      <c r="H225" s="8"/>
      <c r="I225" s="8"/>
      <c r="J225" s="8"/>
      <c r="K225" s="8">
        <f>SUM(K219:K224)</f>
        <v>8.3780000000000001</v>
      </c>
      <c r="L225" s="8"/>
      <c r="M225" s="8">
        <f>SUM(M219:M224)</f>
        <v>8.3780000000000001</v>
      </c>
      <c r="N225" s="8"/>
      <c r="O225" s="8">
        <f>SUM(O219:O224)</f>
        <v>8.3780000000000001</v>
      </c>
    </row>
    <row r="226" spans="1:15" ht="18.75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x14ac:dyDescent="0.25">
      <c r="A227" t="s">
        <v>49</v>
      </c>
      <c r="K227">
        <v>0</v>
      </c>
      <c r="M227">
        <v>0</v>
      </c>
      <c r="O227">
        <v>0</v>
      </c>
    </row>
    <row r="228" spans="1:15" x14ac:dyDescent="0.25">
      <c r="A228" t="s">
        <v>50</v>
      </c>
      <c r="K228">
        <v>55</v>
      </c>
      <c r="M228">
        <v>55</v>
      </c>
      <c r="O228">
        <v>55</v>
      </c>
    </row>
    <row r="229" spans="1:15" ht="18.75" x14ac:dyDescent="0.3">
      <c r="A229" s="8" t="s">
        <v>51</v>
      </c>
      <c r="B229" s="8"/>
      <c r="C229" s="8"/>
      <c r="D229" s="8"/>
      <c r="E229" s="8"/>
      <c r="F229" s="8"/>
      <c r="G229" s="8"/>
      <c r="H229" s="8"/>
      <c r="I229" s="8"/>
      <c r="J229" s="8"/>
      <c r="K229" s="8">
        <f>K216+K225+K228</f>
        <v>213.36899999999997</v>
      </c>
      <c r="L229" s="8"/>
      <c r="M229" s="8">
        <f>M216+M225+M228</f>
        <v>213.36899999999997</v>
      </c>
      <c r="N229" s="8"/>
      <c r="O229" s="8">
        <f>O216+O225+O228</f>
        <v>295.37700000000001</v>
      </c>
    </row>
    <row r="230" spans="1:15" ht="18.75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x14ac:dyDescent="0.25">
      <c r="A231" t="s">
        <v>52</v>
      </c>
      <c r="J231">
        <v>0.1</v>
      </c>
      <c r="K231">
        <f>K229*J231</f>
        <v>21.3369</v>
      </c>
      <c r="L231">
        <v>0.1</v>
      </c>
      <c r="M231">
        <f>M229*L231</f>
        <v>21.3369</v>
      </c>
      <c r="N231">
        <v>0.1</v>
      </c>
      <c r="O231">
        <f>O229*N231</f>
        <v>29.537700000000001</v>
      </c>
    </row>
    <row r="232" spans="1:15" x14ac:dyDescent="0.25">
      <c r="A232" t="s">
        <v>53</v>
      </c>
      <c r="K232">
        <f>SUM(K229:K231)</f>
        <v>234.70589999999999</v>
      </c>
      <c r="M232">
        <f>SUM(M229:M231)</f>
        <v>234.70589999999999</v>
      </c>
      <c r="O232">
        <f>SUM(O229:O231)</f>
        <v>324.91470000000004</v>
      </c>
    </row>
    <row r="233" spans="1:15" ht="18.75" x14ac:dyDescent="0.3">
      <c r="A233" s="11" t="s">
        <v>54</v>
      </c>
      <c r="B233" s="11"/>
      <c r="C233" s="11"/>
      <c r="D233" s="11"/>
      <c r="E233" s="11"/>
      <c r="F233" s="11"/>
      <c r="G233" s="11"/>
      <c r="H233" s="12"/>
      <c r="I233" s="11"/>
      <c r="J233" s="11">
        <v>72</v>
      </c>
      <c r="K233" s="11">
        <f>K232/J233</f>
        <v>3.2598041666666666</v>
      </c>
      <c r="L233" s="11">
        <v>72</v>
      </c>
      <c r="M233" s="11">
        <f>M232/L233</f>
        <v>3.2598041666666666</v>
      </c>
      <c r="N233" s="11">
        <v>72</v>
      </c>
      <c r="O233" s="11">
        <f>O232/N233</f>
        <v>4.5127041666666674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Mubde' ABSI</dc:creator>
  <cp:lastModifiedBy>Mubde' ABSI</cp:lastModifiedBy>
  <dcterms:created xsi:type="dcterms:W3CDTF">2022-03-24T10:29:06Z</dcterms:created>
  <dcterms:modified xsi:type="dcterms:W3CDTF">2022-03-24T10:30:16Z</dcterms:modified>
</cp:coreProperties>
</file>