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eam Drives\Bokitta Private\ERP\"/>
    </mc:Choice>
  </mc:AlternateContent>
  <xr:revisionPtr revIDLastSave="0" documentId="8_{D69A1297-D73E-4F6F-8C66-57D0BCEF8B46}" xr6:coauthVersionLast="43" xr6:coauthVersionMax="43" xr10:uidLastSave="{00000000-0000-0000-0000-000000000000}"/>
  <bookViews>
    <workbookView xWindow="-120" yWindow="-120" windowWidth="29040" windowHeight="15840" xr2:uid="{4B82E226-2F12-418D-9D07-DDA71BDE82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G53" i="1" l="1"/>
  <c r="CD53" i="1"/>
  <c r="CC53" i="1"/>
  <c r="CB53" i="1"/>
  <c r="CA53" i="1"/>
  <c r="BZ53" i="1"/>
  <c r="BY53" i="1"/>
  <c r="BX53" i="1"/>
  <c r="BW53" i="1"/>
  <c r="BV53" i="1"/>
  <c r="BL53" i="1"/>
  <c r="BK53" i="1"/>
  <c r="AV53" i="1"/>
  <c r="AU53" i="1"/>
  <c r="AT53" i="1"/>
  <c r="AQ53" i="1"/>
  <c r="AP53" i="1"/>
  <c r="AO53" i="1"/>
  <c r="AN53" i="1"/>
  <c r="AM53" i="1"/>
  <c r="AL53" i="1"/>
  <c r="AK53" i="1"/>
  <c r="AJ53" i="1"/>
  <c r="AI53" i="1"/>
  <c r="BJ52" i="1"/>
  <c r="A52" i="1"/>
  <c r="BJ51" i="1"/>
  <c r="A51" i="1"/>
  <c r="BJ50" i="1"/>
  <c r="A50" i="1"/>
  <c r="BJ49" i="1"/>
  <c r="A49" i="1"/>
  <c r="BJ48" i="1"/>
  <c r="A48" i="1"/>
  <c r="BJ47" i="1"/>
  <c r="A47" i="1"/>
  <c r="CV46" i="1"/>
  <c r="BJ46" i="1"/>
  <c r="A46" i="1"/>
  <c r="CX45" i="1"/>
  <c r="CV45" i="1"/>
  <c r="CW45" i="1" s="1"/>
  <c r="CU45" i="1"/>
  <c r="CY45" i="1" s="1"/>
  <c r="CZ45" i="1" s="1"/>
  <c r="CK45" i="1"/>
  <c r="CL45" i="1" s="1"/>
  <c r="CM45" i="1" s="1"/>
  <c r="CJ45" i="1"/>
  <c r="CI45" i="1"/>
  <c r="CI53" i="1" s="1"/>
  <c r="CH45" i="1"/>
  <c r="BS45" i="1"/>
  <c r="BQ45" i="1"/>
  <c r="BQ53" i="1" s="1"/>
  <c r="BJ45" i="1"/>
  <c r="BI45" i="1"/>
  <c r="BH45" i="1"/>
  <c r="BG45" i="1"/>
  <c r="BF45" i="1"/>
  <c r="BE45" i="1"/>
  <c r="BD45" i="1"/>
  <c r="BA45" i="1"/>
  <c r="AY45" i="1"/>
  <c r="AX45" i="1"/>
  <c r="BB45" i="1" s="1"/>
  <c r="CX44" i="1"/>
  <c r="CW44" i="1"/>
  <c r="CU44" i="1"/>
  <c r="CY44" i="1" s="1"/>
  <c r="CZ44" i="1" s="1"/>
  <c r="CK44" i="1"/>
  <c r="CJ44" i="1"/>
  <c r="CH44" i="1"/>
  <c r="CL44" i="1" s="1"/>
  <c r="CM44" i="1" s="1"/>
  <c r="BS44" i="1"/>
  <c r="BR44" i="1"/>
  <c r="BJ44" i="1"/>
  <c r="BI44" i="1"/>
  <c r="BH44" i="1"/>
  <c r="BG44" i="1"/>
  <c r="BF44" i="1"/>
  <c r="BE44" i="1"/>
  <c r="BD44" i="1"/>
  <c r="BP44" i="1" s="1"/>
  <c r="BT44" i="1" s="1"/>
  <c r="BU44" i="1" s="1"/>
  <c r="BA44" i="1"/>
  <c r="BB44" i="1" s="1"/>
  <c r="AZ44" i="1"/>
  <c r="AX44" i="1"/>
  <c r="CY43" i="1"/>
  <c r="CZ43" i="1" s="1"/>
  <c r="CX43" i="1"/>
  <c r="CW43" i="1"/>
  <c r="CU43" i="1"/>
  <c r="CK43" i="1"/>
  <c r="CJ43" i="1"/>
  <c r="CH43" i="1"/>
  <c r="CL43" i="1" s="1"/>
  <c r="CM43" i="1" s="1"/>
  <c r="BS43" i="1"/>
  <c r="BJ43" i="1"/>
  <c r="BI43" i="1"/>
  <c r="BH43" i="1"/>
  <c r="BG43" i="1"/>
  <c r="BF43" i="1"/>
  <c r="BE43" i="1"/>
  <c r="BD43" i="1"/>
  <c r="BP43" i="1" s="1"/>
  <c r="BA43" i="1"/>
  <c r="BB43" i="1" s="1"/>
  <c r="AZ43" i="1"/>
  <c r="AX43" i="1"/>
  <c r="CX42" i="1"/>
  <c r="CW42" i="1"/>
  <c r="CN42" i="1"/>
  <c r="CU42" i="1" s="1"/>
  <c r="CY42" i="1" s="1"/>
  <c r="CZ42" i="1" s="1"/>
  <c r="CK42" i="1"/>
  <c r="CL42" i="1" s="1"/>
  <c r="CM42" i="1" s="1"/>
  <c r="CJ42" i="1"/>
  <c r="CH42" i="1"/>
  <c r="BS42" i="1"/>
  <c r="BJ42" i="1"/>
  <c r="BI42" i="1"/>
  <c r="BH42" i="1"/>
  <c r="BG42" i="1"/>
  <c r="BF42" i="1"/>
  <c r="BE42" i="1"/>
  <c r="BP42" i="1" s="1"/>
  <c r="BD42" i="1"/>
  <c r="BB42" i="1"/>
  <c r="BC42" i="1" s="1"/>
  <c r="BA42" i="1"/>
  <c r="AX42" i="1"/>
  <c r="AZ42" i="1" s="1"/>
  <c r="CX41" i="1"/>
  <c r="CW41" i="1"/>
  <c r="CS41" i="1"/>
  <c r="CR41" i="1"/>
  <c r="CQ41" i="1"/>
  <c r="CP41" i="1"/>
  <c r="CO41" i="1"/>
  <c r="CN41" i="1"/>
  <c r="CU41" i="1" s="1"/>
  <c r="CY41" i="1" s="1"/>
  <c r="CZ41" i="1" s="1"/>
  <c r="CK41" i="1"/>
  <c r="CJ41" i="1"/>
  <c r="CH41" i="1"/>
  <c r="CL41" i="1" s="1"/>
  <c r="CM41" i="1" s="1"/>
  <c r="BS41" i="1"/>
  <c r="BJ41" i="1"/>
  <c r="BI41" i="1"/>
  <c r="BH41" i="1"/>
  <c r="BG41" i="1"/>
  <c r="BF41" i="1"/>
  <c r="BE41" i="1"/>
  <c r="BD41" i="1"/>
  <c r="BP41" i="1" s="1"/>
  <c r="BA41" i="1"/>
  <c r="AX41" i="1"/>
  <c r="CX40" i="1"/>
  <c r="CS40" i="1"/>
  <c r="CW40" i="1" s="1"/>
  <c r="CR40" i="1"/>
  <c r="CQ40" i="1"/>
  <c r="CP40" i="1"/>
  <c r="CO40" i="1"/>
  <c r="CN40" i="1"/>
  <c r="CU40" i="1" s="1"/>
  <c r="CY40" i="1" s="1"/>
  <c r="CZ40" i="1" s="1"/>
  <c r="CK40" i="1"/>
  <c r="CL40" i="1" s="1"/>
  <c r="CM40" i="1" s="1"/>
  <c r="CJ40" i="1"/>
  <c r="CH40" i="1"/>
  <c r="BS40" i="1"/>
  <c r="BJ40" i="1"/>
  <c r="BI40" i="1"/>
  <c r="BH40" i="1"/>
  <c r="BG40" i="1"/>
  <c r="BF40" i="1"/>
  <c r="BE40" i="1"/>
  <c r="BD40" i="1"/>
  <c r="BP40" i="1" s="1"/>
  <c r="BA40" i="1"/>
  <c r="AX40" i="1"/>
  <c r="AZ40" i="1" s="1"/>
  <c r="CX39" i="1"/>
  <c r="CW39" i="1"/>
  <c r="CU39" i="1"/>
  <c r="CY39" i="1" s="1"/>
  <c r="CZ39" i="1" s="1"/>
  <c r="CS39" i="1"/>
  <c r="CR39" i="1"/>
  <c r="CQ39" i="1"/>
  <c r="CP39" i="1"/>
  <c r="CO39" i="1"/>
  <c r="CN39" i="1"/>
  <c r="CL39" i="1"/>
  <c r="CM39" i="1" s="1"/>
  <c r="CK39" i="1"/>
  <c r="CJ39" i="1"/>
  <c r="CH39" i="1"/>
  <c r="CF39" i="1"/>
  <c r="BS39" i="1"/>
  <c r="BR39" i="1"/>
  <c r="BJ39" i="1"/>
  <c r="BI39" i="1"/>
  <c r="BH39" i="1"/>
  <c r="BG39" i="1"/>
  <c r="BF39" i="1"/>
  <c r="BE39" i="1"/>
  <c r="BD39" i="1"/>
  <c r="BP39" i="1" s="1"/>
  <c r="BT39" i="1" s="1"/>
  <c r="BU39" i="1" s="1"/>
  <c r="BB39" i="1"/>
  <c r="BC39" i="1" s="1"/>
  <c r="BA39" i="1"/>
  <c r="AX39" i="1"/>
  <c r="AZ39" i="1" s="1"/>
  <c r="AS39" i="1"/>
  <c r="A39" i="1"/>
  <c r="CX38" i="1"/>
  <c r="CW38" i="1"/>
  <c r="CS38" i="1"/>
  <c r="CR38" i="1"/>
  <c r="CQ38" i="1"/>
  <c r="CP38" i="1"/>
  <c r="CO38" i="1"/>
  <c r="CN38" i="1"/>
  <c r="CK38" i="1"/>
  <c r="CJ38" i="1"/>
  <c r="CH38" i="1"/>
  <c r="CL38" i="1" s="1"/>
  <c r="CM38" i="1" s="1"/>
  <c r="BS38" i="1"/>
  <c r="BJ38" i="1"/>
  <c r="BI38" i="1"/>
  <c r="BH38" i="1"/>
  <c r="BG38" i="1"/>
  <c r="BF38" i="1"/>
  <c r="BE38" i="1"/>
  <c r="BD38" i="1"/>
  <c r="BP38" i="1" s="1"/>
  <c r="BA38" i="1"/>
  <c r="AZ38" i="1"/>
  <c r="AX38" i="1"/>
  <c r="BB38" i="1" s="1"/>
  <c r="CX37" i="1"/>
  <c r="CW37" i="1"/>
  <c r="CU37" i="1"/>
  <c r="CY37" i="1" s="1"/>
  <c r="CZ37" i="1" s="1"/>
  <c r="CK37" i="1"/>
  <c r="CJ37" i="1"/>
  <c r="CH37" i="1"/>
  <c r="CL37" i="1" s="1"/>
  <c r="CM37" i="1" s="1"/>
  <c r="BS37" i="1"/>
  <c r="BJ37" i="1"/>
  <c r="BI37" i="1"/>
  <c r="BH37" i="1"/>
  <c r="BG37" i="1"/>
  <c r="BF37" i="1"/>
  <c r="BE37" i="1"/>
  <c r="BD37" i="1"/>
  <c r="BP37" i="1" s="1"/>
  <c r="BT37" i="1" s="1"/>
  <c r="BU37" i="1" s="1"/>
  <c r="BA37" i="1"/>
  <c r="BB37" i="1" s="1"/>
  <c r="AZ37" i="1"/>
  <c r="AX37" i="1"/>
  <c r="CY36" i="1"/>
  <c r="CZ36" i="1" s="1"/>
  <c r="CX36" i="1"/>
  <c r="CW36" i="1"/>
  <c r="CU36" i="1"/>
  <c r="CS36" i="1"/>
  <c r="CK36" i="1"/>
  <c r="CJ36" i="1"/>
  <c r="CH36" i="1"/>
  <c r="CL36" i="1" s="1"/>
  <c r="CM36" i="1" s="1"/>
  <c r="BS36" i="1"/>
  <c r="BJ36" i="1"/>
  <c r="BI36" i="1"/>
  <c r="BH36" i="1"/>
  <c r="BG36" i="1"/>
  <c r="BF36" i="1"/>
  <c r="BE36" i="1"/>
  <c r="BD36" i="1"/>
  <c r="BP36" i="1" s="1"/>
  <c r="BA36" i="1"/>
  <c r="BB36" i="1" s="1"/>
  <c r="AX36" i="1"/>
  <c r="AZ36" i="1" s="1"/>
  <c r="CX35" i="1"/>
  <c r="CW35" i="1"/>
  <c r="CU35" i="1"/>
  <c r="CY35" i="1" s="1"/>
  <c r="CZ35" i="1" s="1"/>
  <c r="CS35" i="1"/>
  <c r="CL35" i="1"/>
  <c r="CM35" i="1" s="1"/>
  <c r="CK35" i="1"/>
  <c r="CJ35" i="1"/>
  <c r="CH35" i="1"/>
  <c r="BS35" i="1"/>
  <c r="BJ35" i="1"/>
  <c r="BI35" i="1"/>
  <c r="BH35" i="1"/>
  <c r="BG35" i="1"/>
  <c r="BF35" i="1"/>
  <c r="BP35" i="1" s="1"/>
  <c r="BR35" i="1" s="1"/>
  <c r="BE35" i="1"/>
  <c r="BD35" i="1"/>
  <c r="BA35" i="1"/>
  <c r="AX35" i="1"/>
  <c r="BB35" i="1" s="1"/>
  <c r="BC35" i="1" s="1"/>
  <c r="CX34" i="1"/>
  <c r="CY34" i="1" s="1"/>
  <c r="CZ34" i="1" s="1"/>
  <c r="CW34" i="1"/>
  <c r="CU34" i="1"/>
  <c r="CS34" i="1"/>
  <c r="CL34" i="1"/>
  <c r="CM34" i="1" s="1"/>
  <c r="CK34" i="1"/>
  <c r="CJ34" i="1"/>
  <c r="CH34" i="1"/>
  <c r="BS34" i="1"/>
  <c r="BP34" i="1"/>
  <c r="BJ34" i="1"/>
  <c r="BI34" i="1"/>
  <c r="BH34" i="1"/>
  <c r="BG34" i="1"/>
  <c r="BF34" i="1"/>
  <c r="BE34" i="1"/>
  <c r="BD34" i="1"/>
  <c r="BC34" i="1"/>
  <c r="BA34" i="1"/>
  <c r="AZ34" i="1"/>
  <c r="AX34" i="1"/>
  <c r="BB34" i="1" s="1"/>
  <c r="A34" i="1" s="1"/>
  <c r="CX33" i="1"/>
  <c r="CY33" i="1" s="1"/>
  <c r="CZ33" i="1" s="1"/>
  <c r="CU33" i="1"/>
  <c r="CS33" i="1"/>
  <c r="CW33" i="1" s="1"/>
  <c r="CK33" i="1"/>
  <c r="CJ33" i="1"/>
  <c r="CH33" i="1"/>
  <c r="CL33" i="1" s="1"/>
  <c r="CM33" i="1" s="1"/>
  <c r="BS33" i="1"/>
  <c r="BJ33" i="1"/>
  <c r="BI33" i="1"/>
  <c r="BH33" i="1"/>
  <c r="BG33" i="1"/>
  <c r="BF33" i="1"/>
  <c r="BE33" i="1"/>
  <c r="BD33" i="1"/>
  <c r="BP33" i="1" s="1"/>
  <c r="BA33" i="1"/>
  <c r="AZ33" i="1"/>
  <c r="AX33" i="1"/>
  <c r="BB33" i="1" s="1"/>
  <c r="CX32" i="1"/>
  <c r="CS32" i="1"/>
  <c r="CW32" i="1" s="1"/>
  <c r="CR32" i="1"/>
  <c r="CQ32" i="1"/>
  <c r="CP32" i="1"/>
  <c r="CU32" i="1" s="1"/>
  <c r="CY32" i="1" s="1"/>
  <c r="CZ32" i="1" s="1"/>
  <c r="CO32" i="1"/>
  <c r="CN32" i="1"/>
  <c r="CK32" i="1"/>
  <c r="CL32" i="1" s="1"/>
  <c r="CM32" i="1" s="1"/>
  <c r="CJ32" i="1"/>
  <c r="CH32" i="1"/>
  <c r="BS32" i="1"/>
  <c r="BN32" i="1"/>
  <c r="BM32" i="1"/>
  <c r="BJ32" i="1"/>
  <c r="BI32" i="1"/>
  <c r="BH32" i="1"/>
  <c r="BG32" i="1"/>
  <c r="BF32" i="1"/>
  <c r="BE32" i="1"/>
  <c r="BD32" i="1"/>
  <c r="BP32" i="1" s="1"/>
  <c r="BA32" i="1"/>
  <c r="BB32" i="1" s="1"/>
  <c r="AZ32" i="1"/>
  <c r="AX32" i="1"/>
  <c r="CY31" i="1"/>
  <c r="CZ31" i="1" s="1"/>
  <c r="CX31" i="1"/>
  <c r="CW31" i="1"/>
  <c r="CS31" i="1"/>
  <c r="CR31" i="1"/>
  <c r="CQ31" i="1"/>
  <c r="CP31" i="1"/>
  <c r="CO31" i="1"/>
  <c r="CU31" i="1" s="1"/>
  <c r="CN31" i="1"/>
  <c r="CL31" i="1"/>
  <c r="CM31" i="1" s="1"/>
  <c r="CK31" i="1"/>
  <c r="CJ31" i="1"/>
  <c r="CH31" i="1"/>
  <c r="BT31" i="1"/>
  <c r="BU31" i="1" s="1"/>
  <c r="BS31" i="1"/>
  <c r="BN31" i="1"/>
  <c r="BM31" i="1"/>
  <c r="BJ31" i="1"/>
  <c r="BI31" i="1"/>
  <c r="BH31" i="1"/>
  <c r="BG31" i="1"/>
  <c r="BF31" i="1"/>
  <c r="BE31" i="1"/>
  <c r="BP31" i="1" s="1"/>
  <c r="BR31" i="1" s="1"/>
  <c r="BD31" i="1"/>
  <c r="BA31" i="1"/>
  <c r="AZ31" i="1"/>
  <c r="AX31" i="1"/>
  <c r="BB31" i="1" s="1"/>
  <c r="CX30" i="1"/>
  <c r="CS30" i="1"/>
  <c r="CW30" i="1" s="1"/>
  <c r="CR30" i="1"/>
  <c r="CQ30" i="1"/>
  <c r="CP30" i="1"/>
  <c r="CU30" i="1" s="1"/>
  <c r="CY30" i="1" s="1"/>
  <c r="CZ30" i="1" s="1"/>
  <c r="CO30" i="1"/>
  <c r="CN30" i="1"/>
  <c r="CK30" i="1"/>
  <c r="CL30" i="1" s="1"/>
  <c r="CM30" i="1" s="1"/>
  <c r="CJ30" i="1"/>
  <c r="CH30" i="1"/>
  <c r="BS30" i="1"/>
  <c r="BN30" i="1"/>
  <c r="BM30" i="1"/>
  <c r="BJ30" i="1"/>
  <c r="BI30" i="1"/>
  <c r="BH30" i="1"/>
  <c r="BG30" i="1"/>
  <c r="BF30" i="1"/>
  <c r="BE30" i="1"/>
  <c r="BD30" i="1"/>
  <c r="BP30" i="1" s="1"/>
  <c r="BA30" i="1"/>
  <c r="BB30" i="1" s="1"/>
  <c r="AX30" i="1"/>
  <c r="AZ30" i="1" s="1"/>
  <c r="CY29" i="1"/>
  <c r="CZ29" i="1" s="1"/>
  <c r="CX29" i="1"/>
  <c r="CW29" i="1"/>
  <c r="CS29" i="1"/>
  <c r="CR29" i="1"/>
  <c r="CQ29" i="1"/>
  <c r="CP29" i="1"/>
  <c r="CO29" i="1"/>
  <c r="CU29" i="1" s="1"/>
  <c r="CN29" i="1"/>
  <c r="CL29" i="1"/>
  <c r="CM29" i="1" s="1"/>
  <c r="CK29" i="1"/>
  <c r="CJ29" i="1"/>
  <c r="CH29" i="1"/>
  <c r="BS29" i="1"/>
  <c r="BN29" i="1"/>
  <c r="BM29" i="1"/>
  <c r="BJ29" i="1"/>
  <c r="BI29" i="1"/>
  <c r="BH29" i="1"/>
  <c r="BG29" i="1"/>
  <c r="BF29" i="1"/>
  <c r="BE29" i="1"/>
  <c r="BP29" i="1" s="1"/>
  <c r="BR29" i="1" s="1"/>
  <c r="BD29" i="1"/>
  <c r="BA29" i="1"/>
  <c r="AZ29" i="1"/>
  <c r="AX29" i="1"/>
  <c r="BB29" i="1" s="1"/>
  <c r="CX28" i="1"/>
  <c r="CS28" i="1"/>
  <c r="CW28" i="1" s="1"/>
  <c r="CR28" i="1"/>
  <c r="CQ28" i="1"/>
  <c r="CP28" i="1"/>
  <c r="CU28" i="1" s="1"/>
  <c r="CY28" i="1" s="1"/>
  <c r="CZ28" i="1" s="1"/>
  <c r="CO28" i="1"/>
  <c r="CN28" i="1"/>
  <c r="CK28" i="1"/>
  <c r="CL28" i="1" s="1"/>
  <c r="CM28" i="1" s="1"/>
  <c r="CJ28" i="1"/>
  <c r="CH28" i="1"/>
  <c r="BS28" i="1"/>
  <c r="BN28" i="1"/>
  <c r="BM28" i="1"/>
  <c r="BJ28" i="1"/>
  <c r="BI28" i="1"/>
  <c r="BH28" i="1"/>
  <c r="BG28" i="1"/>
  <c r="BF28" i="1"/>
  <c r="BE28" i="1"/>
  <c r="BD28" i="1"/>
  <c r="BP28" i="1" s="1"/>
  <c r="BA28" i="1"/>
  <c r="AX28" i="1"/>
  <c r="BB28" i="1" s="1"/>
  <c r="CX27" i="1"/>
  <c r="CW27" i="1"/>
  <c r="CS27" i="1"/>
  <c r="CR27" i="1"/>
  <c r="CQ27" i="1"/>
  <c r="CP27" i="1"/>
  <c r="CO27" i="1"/>
  <c r="CU27" i="1" s="1"/>
  <c r="CY27" i="1" s="1"/>
  <c r="CZ27" i="1" s="1"/>
  <c r="CN27" i="1"/>
  <c r="CL27" i="1"/>
  <c r="CM27" i="1" s="1"/>
  <c r="CK27" i="1"/>
  <c r="CJ27" i="1"/>
  <c r="CH27" i="1"/>
  <c r="BS27" i="1"/>
  <c r="BN27" i="1"/>
  <c r="BM27" i="1"/>
  <c r="BJ27" i="1"/>
  <c r="BI27" i="1"/>
  <c r="BH27" i="1"/>
  <c r="BG27" i="1"/>
  <c r="BF27" i="1"/>
  <c r="BE27" i="1"/>
  <c r="BP27" i="1" s="1"/>
  <c r="BR27" i="1" s="1"/>
  <c r="BD27" i="1"/>
  <c r="BA27" i="1"/>
  <c r="AZ27" i="1"/>
  <c r="AX27" i="1"/>
  <c r="BB27" i="1" s="1"/>
  <c r="CX26" i="1"/>
  <c r="CS26" i="1"/>
  <c r="CW26" i="1" s="1"/>
  <c r="CR26" i="1"/>
  <c r="CQ26" i="1"/>
  <c r="CP26" i="1"/>
  <c r="CU26" i="1" s="1"/>
  <c r="CY26" i="1" s="1"/>
  <c r="CZ26" i="1" s="1"/>
  <c r="CO26" i="1"/>
  <c r="CN26" i="1"/>
  <c r="CK26" i="1"/>
  <c r="CL26" i="1" s="1"/>
  <c r="CM26" i="1" s="1"/>
  <c r="CJ26" i="1"/>
  <c r="CH26" i="1"/>
  <c r="BS26" i="1"/>
  <c r="BN26" i="1"/>
  <c r="BM26" i="1"/>
  <c r="BJ26" i="1"/>
  <c r="BI26" i="1"/>
  <c r="BH26" i="1"/>
  <c r="BG26" i="1"/>
  <c r="BF26" i="1"/>
  <c r="BE26" i="1"/>
  <c r="BD26" i="1"/>
  <c r="BP26" i="1" s="1"/>
  <c r="BA26" i="1"/>
  <c r="AX26" i="1"/>
  <c r="BB26" i="1" s="1"/>
  <c r="CY25" i="1"/>
  <c r="CZ25" i="1" s="1"/>
  <c r="CX25" i="1"/>
  <c r="CW25" i="1"/>
  <c r="CS25" i="1"/>
  <c r="CR25" i="1"/>
  <c r="CQ25" i="1"/>
  <c r="CP25" i="1"/>
  <c r="CO25" i="1"/>
  <c r="CU25" i="1" s="1"/>
  <c r="CN25" i="1"/>
  <c r="CL25" i="1"/>
  <c r="CM25" i="1" s="1"/>
  <c r="CK25" i="1"/>
  <c r="CJ25" i="1"/>
  <c r="CH25" i="1"/>
  <c r="BS25" i="1"/>
  <c r="BN25" i="1"/>
  <c r="BM25" i="1"/>
  <c r="BJ25" i="1"/>
  <c r="BI25" i="1"/>
  <c r="BH25" i="1"/>
  <c r="BG25" i="1"/>
  <c r="BF25" i="1"/>
  <c r="BE25" i="1"/>
  <c r="BP25" i="1" s="1"/>
  <c r="BR25" i="1" s="1"/>
  <c r="BD25" i="1"/>
  <c r="BA25" i="1"/>
  <c r="AZ25" i="1"/>
  <c r="AX25" i="1"/>
  <c r="BB25" i="1" s="1"/>
  <c r="CX24" i="1"/>
  <c r="CS24" i="1"/>
  <c r="CW24" i="1" s="1"/>
  <c r="CR24" i="1"/>
  <c r="CQ24" i="1"/>
  <c r="CP24" i="1"/>
  <c r="CU24" i="1" s="1"/>
  <c r="CY24" i="1" s="1"/>
  <c r="CZ24" i="1" s="1"/>
  <c r="CO24" i="1"/>
  <c r="CN24" i="1"/>
  <c r="CK24" i="1"/>
  <c r="CL24" i="1" s="1"/>
  <c r="CM24" i="1" s="1"/>
  <c r="CJ24" i="1"/>
  <c r="CH24" i="1"/>
  <c r="BS24" i="1"/>
  <c r="BJ24" i="1"/>
  <c r="BI24" i="1"/>
  <c r="BH24" i="1"/>
  <c r="BG24" i="1"/>
  <c r="BP24" i="1" s="1"/>
  <c r="BF24" i="1"/>
  <c r="BE24" i="1"/>
  <c r="BD24" i="1"/>
  <c r="BB24" i="1"/>
  <c r="BA24" i="1"/>
  <c r="AX24" i="1"/>
  <c r="AZ24" i="1" s="1"/>
  <c r="CX23" i="1"/>
  <c r="CW23" i="1"/>
  <c r="CS23" i="1"/>
  <c r="CR23" i="1"/>
  <c r="CQ23" i="1"/>
  <c r="CP23" i="1"/>
  <c r="CO23" i="1"/>
  <c r="CN23" i="1"/>
  <c r="CU23" i="1" s="1"/>
  <c r="CY23" i="1" s="1"/>
  <c r="CZ23" i="1" s="1"/>
  <c r="CK23" i="1"/>
  <c r="CJ23" i="1"/>
  <c r="CH23" i="1"/>
  <c r="CL23" i="1" s="1"/>
  <c r="CM23" i="1" s="1"/>
  <c r="BS23" i="1"/>
  <c r="BR23" i="1"/>
  <c r="BJ23" i="1"/>
  <c r="BI23" i="1"/>
  <c r="BH23" i="1"/>
  <c r="BG23" i="1"/>
  <c r="BF23" i="1"/>
  <c r="BE23" i="1"/>
  <c r="BD23" i="1"/>
  <c r="BP23" i="1" s="1"/>
  <c r="BT23" i="1" s="1"/>
  <c r="BU23" i="1" s="1"/>
  <c r="BA23" i="1"/>
  <c r="AX23" i="1"/>
  <c r="BB23" i="1" s="1"/>
  <c r="CX22" i="1"/>
  <c r="CS22" i="1"/>
  <c r="CW22" i="1" s="1"/>
  <c r="CR22" i="1"/>
  <c r="CQ22" i="1"/>
  <c r="CP22" i="1"/>
  <c r="CO22" i="1"/>
  <c r="CU22" i="1" s="1"/>
  <c r="CY22" i="1" s="1"/>
  <c r="CZ22" i="1" s="1"/>
  <c r="CN22" i="1"/>
  <c r="CL22" i="1"/>
  <c r="CM22" i="1" s="1"/>
  <c r="CK22" i="1"/>
  <c r="CJ22" i="1"/>
  <c r="CH22" i="1"/>
  <c r="BS22" i="1"/>
  <c r="BJ22" i="1"/>
  <c r="BI22" i="1"/>
  <c r="BH22" i="1"/>
  <c r="BG22" i="1"/>
  <c r="BF22" i="1"/>
  <c r="BP22" i="1" s="1"/>
  <c r="BR22" i="1" s="1"/>
  <c r="BE22" i="1"/>
  <c r="BD22" i="1"/>
  <c r="BA22" i="1"/>
  <c r="AX22" i="1"/>
  <c r="BB22" i="1" s="1"/>
  <c r="BC22" i="1" s="1"/>
  <c r="A22" i="1"/>
  <c r="CX21" i="1"/>
  <c r="CS21" i="1"/>
  <c r="CW21" i="1" s="1"/>
  <c r="CR21" i="1"/>
  <c r="CQ21" i="1"/>
  <c r="CP21" i="1"/>
  <c r="CO21" i="1"/>
  <c r="CN21" i="1"/>
  <c r="CU21" i="1" s="1"/>
  <c r="CY21" i="1" s="1"/>
  <c r="CZ21" i="1" s="1"/>
  <c r="CK21" i="1"/>
  <c r="CJ21" i="1"/>
  <c r="CH21" i="1"/>
  <c r="CL21" i="1" s="1"/>
  <c r="CM21" i="1" s="1"/>
  <c r="BS21" i="1"/>
  <c r="BJ21" i="1"/>
  <c r="BI21" i="1"/>
  <c r="BH21" i="1"/>
  <c r="BG21" i="1"/>
  <c r="BF21" i="1"/>
  <c r="BE21" i="1"/>
  <c r="BD21" i="1"/>
  <c r="BP21" i="1" s="1"/>
  <c r="BA21" i="1"/>
  <c r="AZ21" i="1"/>
  <c r="AX21" i="1"/>
  <c r="BB21" i="1" s="1"/>
  <c r="CX20" i="1"/>
  <c r="CS20" i="1"/>
  <c r="CW20" i="1" s="1"/>
  <c r="CR20" i="1"/>
  <c r="CQ20" i="1"/>
  <c r="CP20" i="1"/>
  <c r="CU20" i="1" s="1"/>
  <c r="CY20" i="1" s="1"/>
  <c r="CZ20" i="1" s="1"/>
  <c r="CO20" i="1"/>
  <c r="CN20" i="1"/>
  <c r="CK20" i="1"/>
  <c r="CL20" i="1" s="1"/>
  <c r="CM20" i="1" s="1"/>
  <c r="CJ20" i="1"/>
  <c r="CH20" i="1"/>
  <c r="BS20" i="1"/>
  <c r="BJ20" i="1"/>
  <c r="BI20" i="1"/>
  <c r="BH20" i="1"/>
  <c r="BG20" i="1"/>
  <c r="BP20" i="1" s="1"/>
  <c r="BF20" i="1"/>
  <c r="BE20" i="1"/>
  <c r="BD20" i="1"/>
  <c r="BB20" i="1"/>
  <c r="BA20" i="1"/>
  <c r="AX20" i="1"/>
  <c r="AZ20" i="1" s="1"/>
  <c r="CX19" i="1"/>
  <c r="CW19" i="1"/>
  <c r="CS19" i="1"/>
  <c r="CR19" i="1"/>
  <c r="CQ19" i="1"/>
  <c r="CP19" i="1"/>
  <c r="CO19" i="1"/>
  <c r="CN19" i="1"/>
  <c r="CU19" i="1" s="1"/>
  <c r="CY19" i="1" s="1"/>
  <c r="CZ19" i="1" s="1"/>
  <c r="CM19" i="1"/>
  <c r="CK19" i="1"/>
  <c r="CJ19" i="1"/>
  <c r="CH19" i="1"/>
  <c r="CL19" i="1" s="1"/>
  <c r="BS19" i="1"/>
  <c r="BR19" i="1"/>
  <c r="BJ19" i="1"/>
  <c r="BI19" i="1"/>
  <c r="BH19" i="1"/>
  <c r="BG19" i="1"/>
  <c r="BF19" i="1"/>
  <c r="BE19" i="1"/>
  <c r="BD19" i="1"/>
  <c r="BP19" i="1" s="1"/>
  <c r="BT19" i="1" s="1"/>
  <c r="BU19" i="1" s="1"/>
  <c r="BA19" i="1"/>
  <c r="AX19" i="1"/>
  <c r="BB19" i="1" s="1"/>
  <c r="CX18" i="1"/>
  <c r="CS18" i="1"/>
  <c r="CW18" i="1" s="1"/>
  <c r="CR18" i="1"/>
  <c r="CQ18" i="1"/>
  <c r="CP18" i="1"/>
  <c r="CO18" i="1"/>
  <c r="CU18" i="1" s="1"/>
  <c r="CY18" i="1" s="1"/>
  <c r="CZ18" i="1" s="1"/>
  <c r="CN18" i="1"/>
  <c r="CL18" i="1"/>
  <c r="CM18" i="1" s="1"/>
  <c r="CK18" i="1"/>
  <c r="CJ18" i="1"/>
  <c r="CH18" i="1"/>
  <c r="BS18" i="1"/>
  <c r="BJ18" i="1"/>
  <c r="BI18" i="1"/>
  <c r="BH18" i="1"/>
  <c r="BG18" i="1"/>
  <c r="BF18" i="1"/>
  <c r="BP18" i="1" s="1"/>
  <c r="BR18" i="1" s="1"/>
  <c r="BE18" i="1"/>
  <c r="BD18" i="1"/>
  <c r="BA18" i="1"/>
  <c r="AX18" i="1"/>
  <c r="BB18" i="1" s="1"/>
  <c r="BC18" i="1" s="1"/>
  <c r="CX17" i="1"/>
  <c r="CS17" i="1"/>
  <c r="CW17" i="1" s="1"/>
  <c r="CR17" i="1"/>
  <c r="CQ17" i="1"/>
  <c r="CP17" i="1"/>
  <c r="CO17" i="1"/>
  <c r="CN17" i="1"/>
  <c r="CU17" i="1" s="1"/>
  <c r="CY17" i="1" s="1"/>
  <c r="CZ17" i="1" s="1"/>
  <c r="CK17" i="1"/>
  <c r="CJ17" i="1"/>
  <c r="CH17" i="1"/>
  <c r="CL17" i="1" s="1"/>
  <c r="CM17" i="1" s="1"/>
  <c r="BS17" i="1"/>
  <c r="BJ17" i="1"/>
  <c r="BI17" i="1"/>
  <c r="BH17" i="1"/>
  <c r="BG17" i="1"/>
  <c r="BF17" i="1"/>
  <c r="BE17" i="1"/>
  <c r="BD17" i="1"/>
  <c r="BP17" i="1" s="1"/>
  <c r="BA17" i="1"/>
  <c r="AZ17" i="1"/>
  <c r="AX17" i="1"/>
  <c r="BB17" i="1" s="1"/>
  <c r="CZ16" i="1"/>
  <c r="CX16" i="1"/>
  <c r="CS16" i="1"/>
  <c r="CW16" i="1" s="1"/>
  <c r="CR16" i="1"/>
  <c r="CQ16" i="1"/>
  <c r="CP16" i="1"/>
  <c r="CU16" i="1" s="1"/>
  <c r="CY16" i="1" s="1"/>
  <c r="CO16" i="1"/>
  <c r="CN16" i="1"/>
  <c r="CK16" i="1"/>
  <c r="CL16" i="1" s="1"/>
  <c r="CM16" i="1" s="1"/>
  <c r="CJ16" i="1"/>
  <c r="CH16" i="1"/>
  <c r="BS16" i="1"/>
  <c r="BJ16" i="1"/>
  <c r="BI16" i="1"/>
  <c r="BH16" i="1"/>
  <c r="BG16" i="1"/>
  <c r="BP16" i="1" s="1"/>
  <c r="BF16" i="1"/>
  <c r="BE16" i="1"/>
  <c r="BD16" i="1"/>
  <c r="BB16" i="1"/>
  <c r="BA16" i="1"/>
  <c r="AX16" i="1"/>
  <c r="AZ16" i="1" s="1"/>
  <c r="CX15" i="1"/>
  <c r="CW15" i="1"/>
  <c r="CS15" i="1"/>
  <c r="CR15" i="1"/>
  <c r="CQ15" i="1"/>
  <c r="CP15" i="1"/>
  <c r="CO15" i="1"/>
  <c r="CN15" i="1"/>
  <c r="CU15" i="1" s="1"/>
  <c r="CY15" i="1" s="1"/>
  <c r="CZ15" i="1" s="1"/>
  <c r="CM15" i="1"/>
  <c r="CK15" i="1"/>
  <c r="CJ15" i="1"/>
  <c r="CH15" i="1"/>
  <c r="CL15" i="1" s="1"/>
  <c r="BS15" i="1"/>
  <c r="BR15" i="1"/>
  <c r="BJ15" i="1"/>
  <c r="BI15" i="1"/>
  <c r="BH15" i="1"/>
  <c r="BG15" i="1"/>
  <c r="BF15" i="1"/>
  <c r="BE15" i="1"/>
  <c r="BD15" i="1"/>
  <c r="BP15" i="1" s="1"/>
  <c r="BT15" i="1" s="1"/>
  <c r="BU15" i="1" s="1"/>
  <c r="BA15" i="1"/>
  <c r="AX15" i="1"/>
  <c r="BB15" i="1" s="1"/>
  <c r="CX14" i="1"/>
  <c r="CU14" i="1"/>
  <c r="CY14" i="1" s="1"/>
  <c r="CZ14" i="1" s="1"/>
  <c r="CS14" i="1"/>
  <c r="CW14" i="1" s="1"/>
  <c r="CR14" i="1"/>
  <c r="CQ14" i="1"/>
  <c r="CP14" i="1"/>
  <c r="CO14" i="1"/>
  <c r="CN14" i="1"/>
  <c r="CL14" i="1"/>
  <c r="CM14" i="1" s="1"/>
  <c r="CK14" i="1"/>
  <c r="CJ14" i="1"/>
  <c r="CH14" i="1"/>
  <c r="BS14" i="1"/>
  <c r="BP14" i="1"/>
  <c r="BR14" i="1" s="1"/>
  <c r="BJ14" i="1"/>
  <c r="BI14" i="1"/>
  <c r="BH14" i="1"/>
  <c r="BG14" i="1"/>
  <c r="BF14" i="1"/>
  <c r="BE14" i="1"/>
  <c r="BD14" i="1"/>
  <c r="BC14" i="1"/>
  <c r="BA14" i="1"/>
  <c r="AX14" i="1"/>
  <c r="BB14" i="1" s="1"/>
  <c r="A14" i="1"/>
  <c r="CX13" i="1"/>
  <c r="CW13" i="1"/>
  <c r="CS13" i="1"/>
  <c r="CR13" i="1"/>
  <c r="CQ13" i="1"/>
  <c r="CP13" i="1"/>
  <c r="CO13" i="1"/>
  <c r="CN13" i="1"/>
  <c r="CU13" i="1" s="1"/>
  <c r="CK13" i="1"/>
  <c r="CJ13" i="1"/>
  <c r="CH13" i="1"/>
  <c r="CL13" i="1" s="1"/>
  <c r="CM13" i="1" s="1"/>
  <c r="BS13" i="1"/>
  <c r="BJ13" i="1"/>
  <c r="BI13" i="1"/>
  <c r="BH13" i="1"/>
  <c r="BG13" i="1"/>
  <c r="BF13" i="1"/>
  <c r="BE13" i="1"/>
  <c r="BD13" i="1"/>
  <c r="BP13" i="1" s="1"/>
  <c r="BA13" i="1"/>
  <c r="AZ13" i="1"/>
  <c r="AX13" i="1"/>
  <c r="BB13" i="1" s="1"/>
  <c r="CX12" i="1"/>
  <c r="CS12" i="1"/>
  <c r="CW12" i="1" s="1"/>
  <c r="CR12" i="1"/>
  <c r="CQ12" i="1"/>
  <c r="CP12" i="1"/>
  <c r="CU12" i="1" s="1"/>
  <c r="CY12" i="1" s="1"/>
  <c r="CZ12" i="1" s="1"/>
  <c r="CO12" i="1"/>
  <c r="CN12" i="1"/>
  <c r="CK12" i="1"/>
  <c r="CL12" i="1" s="1"/>
  <c r="CM12" i="1" s="1"/>
  <c r="CJ12" i="1"/>
  <c r="CH12" i="1"/>
  <c r="BS12" i="1"/>
  <c r="BJ12" i="1"/>
  <c r="BI12" i="1"/>
  <c r="BH12" i="1"/>
  <c r="BG12" i="1"/>
  <c r="BP12" i="1" s="1"/>
  <c r="BF12" i="1"/>
  <c r="BE12" i="1"/>
  <c r="BD12" i="1"/>
  <c r="BA12" i="1"/>
  <c r="AX12" i="1"/>
  <c r="AZ12" i="1" s="1"/>
  <c r="CX11" i="1"/>
  <c r="CW11" i="1"/>
  <c r="CS11" i="1"/>
  <c r="CR11" i="1"/>
  <c r="CQ11" i="1"/>
  <c r="CP11" i="1"/>
  <c r="CO11" i="1"/>
  <c r="CN11" i="1"/>
  <c r="CU11" i="1" s="1"/>
  <c r="CY11" i="1" s="1"/>
  <c r="CZ11" i="1" s="1"/>
  <c r="CK11" i="1"/>
  <c r="CJ11" i="1"/>
  <c r="CH11" i="1"/>
  <c r="CL11" i="1" s="1"/>
  <c r="CM11" i="1" s="1"/>
  <c r="BS11" i="1"/>
  <c r="BR11" i="1"/>
  <c r="BJ11" i="1"/>
  <c r="BI11" i="1"/>
  <c r="BH11" i="1"/>
  <c r="BG11" i="1"/>
  <c r="BF11" i="1"/>
  <c r="BE11" i="1"/>
  <c r="BD11" i="1"/>
  <c r="BP11" i="1" s="1"/>
  <c r="BT11" i="1" s="1"/>
  <c r="BU11" i="1" s="1"/>
  <c r="BA11" i="1"/>
  <c r="AX11" i="1"/>
  <c r="BB11" i="1" s="1"/>
  <c r="CX10" i="1"/>
  <c r="CS10" i="1"/>
  <c r="CW10" i="1" s="1"/>
  <c r="CR10" i="1"/>
  <c r="CQ10" i="1"/>
  <c r="CP10" i="1"/>
  <c r="CO10" i="1"/>
  <c r="CU10" i="1" s="1"/>
  <c r="CY10" i="1" s="1"/>
  <c r="CZ10" i="1" s="1"/>
  <c r="CN10" i="1"/>
  <c r="CL10" i="1"/>
  <c r="CM10" i="1" s="1"/>
  <c r="CK10" i="1"/>
  <c r="CJ10" i="1"/>
  <c r="CH10" i="1"/>
  <c r="BS10" i="1"/>
  <c r="BJ10" i="1"/>
  <c r="BI10" i="1"/>
  <c r="BH10" i="1"/>
  <c r="BG10" i="1"/>
  <c r="BF10" i="1"/>
  <c r="BP10" i="1" s="1"/>
  <c r="BE10" i="1"/>
  <c r="BD10" i="1"/>
  <c r="BC10" i="1"/>
  <c r="BA10" i="1"/>
  <c r="AX10" i="1"/>
  <c r="BB10" i="1" s="1"/>
  <c r="A10" i="1"/>
  <c r="CX9" i="1"/>
  <c r="CS9" i="1"/>
  <c r="CR9" i="1"/>
  <c r="CQ9" i="1"/>
  <c r="CP9" i="1"/>
  <c r="CO9" i="1"/>
  <c r="CN9" i="1"/>
  <c r="CK9" i="1"/>
  <c r="CH9" i="1"/>
  <c r="BS9" i="1"/>
  <c r="BJ9" i="1"/>
  <c r="BI9" i="1"/>
  <c r="BH9" i="1"/>
  <c r="BG9" i="1"/>
  <c r="BF9" i="1"/>
  <c r="BE9" i="1"/>
  <c r="BD9" i="1"/>
  <c r="BP9" i="1" s="1"/>
  <c r="BA9" i="1"/>
  <c r="AZ9" i="1"/>
  <c r="AX9" i="1"/>
  <c r="BB9" i="1" s="1"/>
  <c r="CX8" i="1"/>
  <c r="CS8" i="1"/>
  <c r="CR8" i="1"/>
  <c r="CQ8" i="1"/>
  <c r="CP8" i="1"/>
  <c r="CU8" i="1" s="1"/>
  <c r="CO8" i="1"/>
  <c r="CN8" i="1"/>
  <c r="CK8" i="1"/>
  <c r="CL8" i="1" s="1"/>
  <c r="CM8" i="1" s="1"/>
  <c r="CH8" i="1"/>
  <c r="CJ8" i="1" s="1"/>
  <c r="BS8" i="1"/>
  <c r="BJ8" i="1"/>
  <c r="BI8" i="1"/>
  <c r="BH8" i="1"/>
  <c r="BG8" i="1"/>
  <c r="BP8" i="1" s="1"/>
  <c r="BF8" i="1"/>
  <c r="BE8" i="1"/>
  <c r="BD8" i="1"/>
  <c r="BA8" i="1"/>
  <c r="AX8" i="1"/>
  <c r="AZ8" i="1" s="1"/>
  <c r="CX7" i="1"/>
  <c r="CS7" i="1"/>
  <c r="CR7" i="1"/>
  <c r="CQ7" i="1"/>
  <c r="CP7" i="1"/>
  <c r="CO7" i="1"/>
  <c r="CN7" i="1"/>
  <c r="CU7" i="1" s="1"/>
  <c r="CY7" i="1" s="1"/>
  <c r="CZ7" i="1" s="1"/>
  <c r="CK7" i="1"/>
  <c r="CJ7" i="1"/>
  <c r="CH7" i="1"/>
  <c r="CL7" i="1" s="1"/>
  <c r="CM7" i="1" s="1"/>
  <c r="BS7" i="1"/>
  <c r="BR7" i="1"/>
  <c r="BJ7" i="1"/>
  <c r="BI7" i="1"/>
  <c r="BH7" i="1"/>
  <c r="BG7" i="1"/>
  <c r="BF7" i="1"/>
  <c r="BE7" i="1"/>
  <c r="BD7" i="1"/>
  <c r="BP7" i="1" s="1"/>
  <c r="BT7" i="1" s="1"/>
  <c r="BU7" i="1" s="1"/>
  <c r="BA7" i="1"/>
  <c r="AX7" i="1"/>
  <c r="BB7" i="1" s="1"/>
  <c r="CX6" i="1"/>
  <c r="CS6" i="1"/>
  <c r="CR6" i="1"/>
  <c r="CQ6" i="1"/>
  <c r="CP6" i="1"/>
  <c r="CO6" i="1"/>
  <c r="CU6" i="1" s="1"/>
  <c r="CN6" i="1"/>
  <c r="CL6" i="1"/>
  <c r="CM6" i="1" s="1"/>
  <c r="CK6" i="1"/>
  <c r="CH6" i="1"/>
  <c r="CJ6" i="1" s="1"/>
  <c r="BS6" i="1"/>
  <c r="BJ6" i="1"/>
  <c r="BI6" i="1"/>
  <c r="BH6" i="1"/>
  <c r="BG6" i="1"/>
  <c r="BF6" i="1"/>
  <c r="BP6" i="1" s="1"/>
  <c r="BE6" i="1"/>
  <c r="BD6" i="1"/>
  <c r="BA6" i="1"/>
  <c r="AX6" i="1"/>
  <c r="BB6" i="1" s="1"/>
  <c r="A6" i="1" s="1"/>
  <c r="CX5" i="1"/>
  <c r="CS5" i="1"/>
  <c r="CR5" i="1"/>
  <c r="CQ5" i="1"/>
  <c r="CP5" i="1"/>
  <c r="CO5" i="1"/>
  <c r="CN5" i="1"/>
  <c r="CU5" i="1" s="1"/>
  <c r="CK5" i="1"/>
  <c r="CH5" i="1"/>
  <c r="CL5" i="1" s="1"/>
  <c r="CM5" i="1" s="1"/>
  <c r="BS5" i="1"/>
  <c r="BJ5" i="1"/>
  <c r="BI5" i="1"/>
  <c r="BH5" i="1"/>
  <c r="BG5" i="1"/>
  <c r="BF5" i="1"/>
  <c r="BE5" i="1"/>
  <c r="BD5" i="1"/>
  <c r="BP5" i="1" s="1"/>
  <c r="BA5" i="1"/>
  <c r="AZ5" i="1"/>
  <c r="AX5" i="1"/>
  <c r="CX4" i="1"/>
  <c r="CX46" i="1" s="1"/>
  <c r="CS4" i="1"/>
  <c r="CR4" i="1"/>
  <c r="CQ4" i="1"/>
  <c r="CP4" i="1"/>
  <c r="CU4" i="1" s="1"/>
  <c r="CO4" i="1"/>
  <c r="CN4" i="1"/>
  <c r="CL4" i="1"/>
  <c r="CK4" i="1"/>
  <c r="CH4" i="1"/>
  <c r="BS4" i="1"/>
  <c r="BP4" i="1"/>
  <c r="BR4" i="1" s="1"/>
  <c r="BJ4" i="1"/>
  <c r="BJ53" i="1" s="1"/>
  <c r="BI4" i="1"/>
  <c r="BH4" i="1"/>
  <c r="BG4" i="1"/>
  <c r="BF4" i="1"/>
  <c r="BE4" i="1"/>
  <c r="BD4" i="1"/>
  <c r="BB4" i="1"/>
  <c r="A4" i="1" s="1"/>
  <c r="BA4" i="1"/>
  <c r="AX4" i="1"/>
  <c r="AZ4" i="1" s="1"/>
  <c r="CY4" i="1" l="1"/>
  <c r="CW4" i="1"/>
  <c r="BR6" i="1"/>
  <c r="BT6" i="1"/>
  <c r="BU6" i="1" s="1"/>
  <c r="CW6" i="1"/>
  <c r="CY6" i="1"/>
  <c r="CZ6" i="1" s="1"/>
  <c r="BR10" i="1"/>
  <c r="BT10" i="1"/>
  <c r="BU10" i="1" s="1"/>
  <c r="A20" i="1"/>
  <c r="BC20" i="1"/>
  <c r="BC7" i="1"/>
  <c r="A7" i="1"/>
  <c r="CY13" i="1"/>
  <c r="CZ13" i="1" s="1"/>
  <c r="BT25" i="1"/>
  <c r="BU25" i="1" s="1"/>
  <c r="A33" i="1"/>
  <c r="BC33" i="1"/>
  <c r="BT43" i="1"/>
  <c r="BU43" i="1" s="1"/>
  <c r="BR43" i="1"/>
  <c r="BS53" i="1"/>
  <c r="BB5" i="1"/>
  <c r="BC6" i="1"/>
  <c r="BB8" i="1"/>
  <c r="BT12" i="1"/>
  <c r="BU12" i="1" s="1"/>
  <c r="BR12" i="1"/>
  <c r="A17" i="1"/>
  <c r="BC17" i="1"/>
  <c r="BT18" i="1"/>
  <c r="BU18" i="1" s="1"/>
  <c r="BT27" i="1"/>
  <c r="BU27" i="1" s="1"/>
  <c r="BT28" i="1"/>
  <c r="BU28" i="1" s="1"/>
  <c r="BR28" i="1"/>
  <c r="BC30" i="1"/>
  <c r="A30" i="1"/>
  <c r="BT35" i="1"/>
  <c r="BU35" i="1" s="1"/>
  <c r="BC44" i="1"/>
  <c r="A44" i="1"/>
  <c r="CY5" i="1"/>
  <c r="CZ5" i="1" s="1"/>
  <c r="CW5" i="1"/>
  <c r="A38" i="1"/>
  <c r="BC38" i="1"/>
  <c r="A43" i="1"/>
  <c r="BC43" i="1"/>
  <c r="BC4" i="1"/>
  <c r="CL9" i="1"/>
  <c r="CM9" i="1" s="1"/>
  <c r="CJ9" i="1"/>
  <c r="BT26" i="1"/>
  <c r="BU26" i="1" s="1"/>
  <c r="BR26" i="1"/>
  <c r="BR42" i="1"/>
  <c r="BT42" i="1"/>
  <c r="BU42" i="1" s="1"/>
  <c r="BD53" i="1"/>
  <c r="BE53" i="1"/>
  <c r="BT4" i="1"/>
  <c r="CU9" i="1"/>
  <c r="A13" i="1"/>
  <c r="BC13" i="1"/>
  <c r="A21" i="1"/>
  <c r="BC21" i="1"/>
  <c r="BT22" i="1"/>
  <c r="BU22" i="1" s="1"/>
  <c r="BT29" i="1"/>
  <c r="BU29" i="1" s="1"/>
  <c r="BT30" i="1"/>
  <c r="BU30" i="1" s="1"/>
  <c r="BR30" i="1"/>
  <c r="BT38" i="1"/>
  <c r="BU38" i="1" s="1"/>
  <c r="BR38" i="1"/>
  <c r="A45" i="1"/>
  <c r="BC45" i="1"/>
  <c r="CM4" i="1"/>
  <c r="CM53" i="1" s="1"/>
  <c r="BC15" i="1"/>
  <c r="A15" i="1"/>
  <c r="BT20" i="1"/>
  <c r="BU20" i="1" s="1"/>
  <c r="BR20" i="1"/>
  <c r="A25" i="1"/>
  <c r="BC25" i="1"/>
  <c r="BC32" i="1"/>
  <c r="A32" i="1"/>
  <c r="BT33" i="1"/>
  <c r="BU33" i="1" s="1"/>
  <c r="BR33" i="1"/>
  <c r="A36" i="1"/>
  <c r="BC36" i="1"/>
  <c r="BT40" i="1"/>
  <c r="BU40" i="1" s="1"/>
  <c r="BR40" i="1"/>
  <c r="AY53" i="1"/>
  <c r="AZ45" i="1"/>
  <c r="BT16" i="1"/>
  <c r="BU16" i="1" s="1"/>
  <c r="BR16" i="1"/>
  <c r="CH53" i="1"/>
  <c r="BT5" i="1"/>
  <c r="BU5" i="1" s="1"/>
  <c r="BR5" i="1"/>
  <c r="BC11" i="1"/>
  <c r="A11" i="1"/>
  <c r="A16" i="1"/>
  <c r="BC16" i="1"/>
  <c r="BT17" i="1"/>
  <c r="BU17" i="1" s="1"/>
  <c r="BR17" i="1"/>
  <c r="BT24" i="1"/>
  <c r="BU24" i="1" s="1"/>
  <c r="BR24" i="1"/>
  <c r="A27" i="1"/>
  <c r="BC27" i="1"/>
  <c r="BT32" i="1"/>
  <c r="BU32" i="1" s="1"/>
  <c r="BR32" i="1"/>
  <c r="BT34" i="1"/>
  <c r="BU34" i="1" s="1"/>
  <c r="BR34" i="1"/>
  <c r="BT36" i="1"/>
  <c r="BU36" i="1" s="1"/>
  <c r="BR36" i="1"/>
  <c r="CY8" i="1"/>
  <c r="CZ8" i="1" s="1"/>
  <c r="CW8" i="1"/>
  <c r="BC23" i="1"/>
  <c r="A23" i="1"/>
  <c r="BC28" i="1"/>
  <c r="A28" i="1"/>
  <c r="BT9" i="1"/>
  <c r="BU9" i="1" s="1"/>
  <c r="BR9" i="1"/>
  <c r="CJ4" i="1"/>
  <c r="CJ5" i="1"/>
  <c r="CW7" i="1"/>
  <c r="BT8" i="1"/>
  <c r="BU8" i="1" s="1"/>
  <c r="BR8" i="1"/>
  <c r="A9" i="1"/>
  <c r="BC9" i="1"/>
  <c r="BB12" i="1"/>
  <c r="BT13" i="1"/>
  <c r="BU13" i="1" s="1"/>
  <c r="BR13" i="1"/>
  <c r="BT14" i="1"/>
  <c r="BU14" i="1" s="1"/>
  <c r="BT21" i="1"/>
  <c r="BU21" i="1" s="1"/>
  <c r="BR21" i="1"/>
  <c r="A29" i="1"/>
  <c r="BC29" i="1"/>
  <c r="CU38" i="1"/>
  <c r="CY38" i="1" s="1"/>
  <c r="CZ38" i="1" s="1"/>
  <c r="BB41" i="1"/>
  <c r="AZ41" i="1"/>
  <c r="BP45" i="1"/>
  <c r="BT41" i="1"/>
  <c r="BU41" i="1" s="1"/>
  <c r="BR41" i="1"/>
  <c r="A24" i="1"/>
  <c r="BC24" i="1"/>
  <c r="BF53" i="1"/>
  <c r="BG53" i="1"/>
  <c r="BH53" i="1"/>
  <c r="BA53" i="1"/>
  <c r="BI53" i="1"/>
  <c r="CK53" i="1"/>
  <c r="A18" i="1"/>
  <c r="BC19" i="1"/>
  <c r="A19" i="1"/>
  <c r="BN39" i="1"/>
  <c r="BC26" i="1"/>
  <c r="A26" i="1"/>
  <c r="A31" i="1"/>
  <c r="BC31" i="1"/>
  <c r="A35" i="1"/>
  <c r="BC37" i="1"/>
  <c r="A37" i="1"/>
  <c r="BR37" i="1"/>
  <c r="BB40" i="1"/>
  <c r="A42" i="1"/>
  <c r="AZ6" i="1"/>
  <c r="AZ53" i="1" s="1"/>
  <c r="AZ10" i="1"/>
  <c r="AZ14" i="1"/>
  <c r="AZ18" i="1"/>
  <c r="AZ22" i="1"/>
  <c r="AZ35" i="1"/>
  <c r="AZ7" i="1"/>
  <c r="AZ11" i="1"/>
  <c r="AZ15" i="1"/>
  <c r="AZ19" i="1"/>
  <c r="AZ23" i="1"/>
  <c r="AZ26" i="1"/>
  <c r="AZ28" i="1"/>
  <c r="A8" i="1" l="1"/>
  <c r="BC8" i="1"/>
  <c r="BR45" i="1"/>
  <c r="BR53" i="1" s="1"/>
  <c r="BT45" i="1"/>
  <c r="BU45" i="1" s="1"/>
  <c r="BT53" i="1"/>
  <c r="BU4" i="1"/>
  <c r="BU53" i="1" s="1"/>
  <c r="BB53" i="1"/>
  <c r="A5" i="1"/>
  <c r="BC5" i="1"/>
  <c r="CJ53" i="1"/>
  <c r="CL53" i="1"/>
  <c r="CY9" i="1"/>
  <c r="CZ9" i="1" s="1"/>
  <c r="CW9" i="1"/>
  <c r="CW46" i="1" s="1"/>
  <c r="A40" i="1"/>
  <c r="BC40" i="1"/>
  <c r="A12" i="1"/>
  <c r="BC12" i="1"/>
  <c r="BC53" i="1" s="1"/>
  <c r="A41" i="1"/>
  <c r="BC41" i="1"/>
  <c r="CY46" i="1"/>
  <c r="CZ4" i="1"/>
  <c r="CZ46" i="1" s="1"/>
</calcChain>
</file>

<file path=xl/sharedStrings.xml><?xml version="1.0" encoding="utf-8"?>
<sst xmlns="http://schemas.openxmlformats.org/spreadsheetml/2006/main" count="999" uniqueCount="511">
  <si>
    <t>Folder</t>
  </si>
  <si>
    <t>Resellers</t>
  </si>
  <si>
    <t>m2,m6,m12,m12m,m19,m19m</t>
  </si>
  <si>
    <t>m2,m6,m12,m12m,m19,m19m,m1</t>
  </si>
  <si>
    <t>M2</t>
  </si>
  <si>
    <t>M6</t>
  </si>
  <si>
    <t>M12</t>
  </si>
  <si>
    <t>M12m</t>
  </si>
  <si>
    <t>M19</t>
  </si>
  <si>
    <t>M19m</t>
  </si>
  <si>
    <t>m10</t>
  </si>
  <si>
    <t>XIS</t>
  </si>
  <si>
    <t>BIS</t>
  </si>
  <si>
    <t>clr</t>
  </si>
  <si>
    <t>twl</t>
  </si>
  <si>
    <t>M7</t>
  </si>
  <si>
    <t>M13</t>
  </si>
  <si>
    <t>M14</t>
  </si>
  <si>
    <t>Hds</t>
  </si>
  <si>
    <t>Quota</t>
  </si>
  <si>
    <t>ID</t>
  </si>
  <si>
    <t>NickName</t>
  </si>
  <si>
    <t>Company</t>
  </si>
  <si>
    <t>address 1</t>
  </si>
  <si>
    <t>address 2</t>
  </si>
  <si>
    <t>City</t>
  </si>
  <si>
    <t>State</t>
  </si>
  <si>
    <t>Code</t>
  </si>
  <si>
    <t>Country</t>
  </si>
  <si>
    <t>Contact Name</t>
  </si>
  <si>
    <t>Tel</t>
  </si>
  <si>
    <t>email</t>
  </si>
  <si>
    <t>title</t>
  </si>
  <si>
    <t>Status</t>
  </si>
  <si>
    <t>Air cost/kg</t>
  </si>
  <si>
    <t>Sup Address1</t>
  </si>
  <si>
    <t>Sup Address2</t>
  </si>
  <si>
    <t>Custom Invoice Required</t>
  </si>
  <si>
    <t>PriceColumn</t>
  </si>
  <si>
    <t>CountryAbv</t>
  </si>
  <si>
    <t>forwarder</t>
  </si>
  <si>
    <t>AddFreightCost</t>
  </si>
  <si>
    <t>AddInsCost</t>
  </si>
  <si>
    <t>GST</t>
  </si>
  <si>
    <t>ExchangeCalc</t>
  </si>
  <si>
    <t>IssueSOA</t>
  </si>
  <si>
    <t>LastSOAUpdate</t>
  </si>
  <si>
    <t>Special</t>
  </si>
  <si>
    <t>mall</t>
  </si>
  <si>
    <t>address</t>
  </si>
  <si>
    <t>IncludeQuota</t>
  </si>
  <si>
    <t>Currency</t>
  </si>
  <si>
    <t>StyleMinQtyPerItemBasics</t>
  </si>
  <si>
    <t>IncludeQuotaBasics</t>
  </si>
  <si>
    <t>TotalAllStyles</t>
  </si>
  <si>
    <t>Items/Rel</t>
  </si>
  <si>
    <t>Total/Qtr</t>
  </si>
  <si>
    <t>Items/Qtr</t>
  </si>
  <si>
    <t>QtrSales</t>
  </si>
  <si>
    <t>StyleMinQtyPerItemHalf</t>
  </si>
  <si>
    <t>StyleMinQtyPerItemStandardPrinted</t>
  </si>
  <si>
    <t>StyleMinQtyPerItemStandardPlain</t>
  </si>
  <si>
    <t>BM</t>
  </si>
  <si>
    <t>BokittaMalaysia</t>
  </si>
  <si>
    <t>Bokitta Malaysia</t>
  </si>
  <si>
    <t>LOT F1-45 BLOCK A, KLAS CARGO CENTRE</t>
  </si>
  <si>
    <t>SOUTHERN SUPPORT ZONE, KLIA 64000</t>
  </si>
  <si>
    <t>SEPANG</t>
  </si>
  <si>
    <t>SELANGOR</t>
  </si>
  <si>
    <t>MALAYSIA</t>
  </si>
  <si>
    <t>Edward Chua</t>
  </si>
  <si>
    <t>+60122355068</t>
  </si>
  <si>
    <t>edward.chua@bokitta.com</t>
  </si>
  <si>
    <t>Manager</t>
  </si>
  <si>
    <t>Distributor</t>
  </si>
  <si>
    <t>Resellers\Malaysia</t>
  </si>
  <si>
    <t>Franchisee</t>
  </si>
  <si>
    <t>my</t>
  </si>
  <si>
    <t>MF</t>
  </si>
  <si>
    <t>myr</t>
  </si>
  <si>
    <t>BI</t>
  </si>
  <si>
    <t>BokittaInsta</t>
  </si>
  <si>
    <t>MOUSLEMA VENTURES SDN BHD, (Bokitta Hijab)</t>
  </si>
  <si>
    <t>29-2, JLN PJU 5/20E,</t>
  </si>
  <si>
    <t>The Strand, Kota Damansara</t>
  </si>
  <si>
    <t>Petaling Jaya,</t>
  </si>
  <si>
    <t>Selangor Darul Ehasan</t>
  </si>
  <si>
    <t xml:space="preserve">Syed Zulhilmi Tuan Sharif </t>
  </si>
  <si>
    <t>+603-61434147/+6013-7732728</t>
  </si>
  <si>
    <t>szulhilmi@gmail.com;bokittainsta@gmail.com</t>
  </si>
  <si>
    <t>Director</t>
  </si>
  <si>
    <t>QA</t>
  </si>
  <si>
    <t>QurrataAin</t>
  </si>
  <si>
    <t>Qurrata Ain Sdn Bhd</t>
  </si>
  <si>
    <t>164-1-3 Kiara Park Condo</t>
  </si>
  <si>
    <t>Jln Burhanuddin Helmi, Taman Tun Dr Ismail</t>
  </si>
  <si>
    <t>Kuala Lumpur</t>
  </si>
  <si>
    <t>Nuraini Shamsueddin</t>
  </si>
  <si>
    <t>+60193435319</t>
  </si>
  <si>
    <t>amshamsudin@yahoo.com;nurainisham@gmail.com</t>
  </si>
  <si>
    <t>BB</t>
  </si>
  <si>
    <t>BOKITTABORNEO</t>
  </si>
  <si>
    <t>BOKITTA BORNEO DISTRIBUTION CENTER</t>
  </si>
  <si>
    <t>TB 9149 TAMAN EHSAN,Tingkat 1, </t>
  </si>
  <si>
    <t> JALAN AIR PANAS,</t>
  </si>
  <si>
    <t xml:space="preserve">TAWAU, </t>
  </si>
  <si>
    <t>SABAH</t>
  </si>
  <si>
    <t>Malaysia</t>
  </si>
  <si>
    <t>MOHD HANIFF BIN MOHD ISMAIL</t>
  </si>
  <si>
    <t>+6013 805 7798</t>
  </si>
  <si>
    <t>modjozzz@gmail.com</t>
  </si>
  <si>
    <t>Franchise</t>
  </si>
  <si>
    <t>BH</t>
  </si>
  <si>
    <t>BokittaHijabista</t>
  </si>
  <si>
    <t>Ad Leqha Holding Sdn Bhd</t>
  </si>
  <si>
    <t>17-2, Block D, Jln The Atmosphere,</t>
  </si>
  <si>
    <t>Pusat Perniagaan The Atmosphere</t>
  </si>
  <si>
    <t>Seri Kembangan</t>
  </si>
  <si>
    <t>Selangor</t>
  </si>
  <si>
    <t>Siti Umi Binti Mohd Norzuki</t>
  </si>
  <si>
    <t>+6 010-4065747</t>
  </si>
  <si>
    <t>bokittahijabista@gmail.com</t>
  </si>
  <si>
    <t>sister Atikah</t>
  </si>
  <si>
    <t>GM</t>
  </si>
  <si>
    <t>GoldenMU</t>
  </si>
  <si>
    <t>Golden Million United  Sdn Bhd</t>
  </si>
  <si>
    <t>Lot 29, Ground Floor, Block G,</t>
  </si>
  <si>
    <t xml:space="preserve"> Royal Plaza Putatan</t>
  </si>
  <si>
    <t xml:space="preserve"> Kota Kinanabalu</t>
  </si>
  <si>
    <t>Sabah</t>
  </si>
  <si>
    <t>Normah Binti Mammad</t>
  </si>
  <si>
    <t>+6 0138044593</t>
  </si>
  <si>
    <t>thehijabworld13@gmail.com;gmusb13@gmail.com</t>
  </si>
  <si>
    <t>WC</t>
  </si>
  <si>
    <t>WomenConnection</t>
  </si>
  <si>
    <t>Women Connection</t>
  </si>
  <si>
    <t>Unit Taibah, Unit 23, First Floor</t>
  </si>
  <si>
    <t>Simpang 82, Block B, Serusop Complex, Kampong Delima Satu</t>
  </si>
  <si>
    <t>Berakas</t>
  </si>
  <si>
    <t>Negara</t>
  </si>
  <si>
    <t>BB2313</t>
  </si>
  <si>
    <t>Brunei Darussalam</t>
  </si>
  <si>
    <t>Noorhana</t>
  </si>
  <si>
    <t>+6738961830</t>
  </si>
  <si>
    <t>women.connection2013@gmail.com</t>
  </si>
  <si>
    <t>dealer</t>
  </si>
  <si>
    <t>Resellers\Brunei Darussalam</t>
  </si>
  <si>
    <t>husband Anwar</t>
  </si>
  <si>
    <t>br</t>
  </si>
  <si>
    <t>bnd</t>
  </si>
  <si>
    <t>BA</t>
  </si>
  <si>
    <t>BokittaAsia</t>
  </si>
  <si>
    <t>Bokitta Asia</t>
  </si>
  <si>
    <t>LOT 3261, JALAN SERI PENCHALA 3</t>
  </si>
  <si>
    <t>KG SG PENCHALA</t>
  </si>
  <si>
    <t>HAIZRENE HALIM</t>
  </si>
  <si>
    <t>+60172800017</t>
  </si>
  <si>
    <t>haizrene@gmail.com</t>
  </si>
  <si>
    <t>12-15 boxes at least</t>
  </si>
  <si>
    <t>BR</t>
  </si>
  <si>
    <t>Hqube</t>
  </si>
  <si>
    <t>Hqube KL Enterprise</t>
  </si>
  <si>
    <t>B-G-11, Vista Alam, No. 3,</t>
  </si>
  <si>
    <t>Jalan Ikhtisas 14/1</t>
  </si>
  <si>
    <t>Shah Alam</t>
  </si>
  <si>
    <t>HAWADAH MOHAMED</t>
  </si>
  <si>
    <t xml:space="preserve"> +60126132003 </t>
  </si>
  <si>
    <t>hawadah.mohamed@gmail.com</t>
  </si>
  <si>
    <t>FC</t>
  </si>
  <si>
    <t>FilzCloset</t>
  </si>
  <si>
    <t>Naylis Teguh Enterprise</t>
  </si>
  <si>
    <t>No 97</t>
  </si>
  <si>
    <t>Persiaran Taman Melati</t>
  </si>
  <si>
    <t>Setapak</t>
  </si>
  <si>
    <t>Filzah Adila Binti Mohd Lamin</t>
  </si>
  <si>
    <t>+60122180047</t>
  </si>
  <si>
    <t>filzahadilamohdlamin@yahoo.com</t>
  </si>
  <si>
    <t>LW</t>
  </si>
  <si>
    <t>LuqluqWear</t>
  </si>
  <si>
    <t>NZ Green Stone Sdn Bhd</t>
  </si>
  <si>
    <t>5A Jalan Pinang E 18/E</t>
  </si>
  <si>
    <t>Hjh Nor Zaharah Sham</t>
  </si>
  <si>
    <t xml:space="preserve"> +6012-7147100 </t>
  </si>
  <si>
    <t>luqluqmuslimah@gmail.com</t>
  </si>
  <si>
    <t>BK</t>
  </si>
  <si>
    <t>Bokittakuching</t>
  </si>
  <si>
    <t>Sufas Enterprise</t>
  </si>
  <si>
    <t>Tingkat 1, Lorong Metrocity Height 1A1</t>
  </si>
  <si>
    <t xml:space="preserve">Metrocity Commercial Centre, </t>
  </si>
  <si>
    <t>Jalan Matang</t>
  </si>
  <si>
    <t>Kuching, Sarawak</t>
  </si>
  <si>
    <t>Siti Asmah Binti Haji Basri</t>
  </si>
  <si>
    <t>+60168080382/0102990382</t>
  </si>
  <si>
    <t>asmah39@gmail.com</t>
  </si>
  <si>
    <t>Level 2, Sublot 3 Commercial, Lot 13771, Section 65, Kuching Townland District, Metrocity, 93050 Kuching, Sarawak. Malaysia.</t>
  </si>
  <si>
    <t>CF</t>
  </si>
  <si>
    <t>CINDYFANAH</t>
  </si>
  <si>
    <t>CINDYFANAH APPAREL HOLDINGS SDN BHD</t>
  </si>
  <si>
    <t>No. 1, Jalan Tanjong</t>
  </si>
  <si>
    <t>Glang 30/4</t>
  </si>
  <si>
    <t>Cindy Fanah</t>
  </si>
  <si>
    <t>+60173428472</t>
  </si>
  <si>
    <t>cindyrellafashion@yahoo.com</t>
  </si>
  <si>
    <t>BHQ</t>
  </si>
  <si>
    <t>BokittaBeirut</t>
  </si>
  <si>
    <t>Bokitta Beirut</t>
  </si>
  <si>
    <t>Mazraa Street, Nora Bldg 12th Floor</t>
  </si>
  <si>
    <t>Talat Khayat</t>
  </si>
  <si>
    <t>Beirut</t>
  </si>
  <si>
    <t>LEBANON</t>
  </si>
  <si>
    <t>Mohammad ABSI</t>
  </si>
  <si>
    <t>+96170744479</t>
  </si>
  <si>
    <t>online.biz@bokitta.com</t>
  </si>
  <si>
    <t>HQ</t>
  </si>
  <si>
    <t>Resellers\Lebanon</t>
  </si>
  <si>
    <t xml:space="preserve">RT Nagar, Sultan Palya Street, </t>
  </si>
  <si>
    <t>Woods 1, Bangalore, INDIA</t>
  </si>
  <si>
    <t>lb</t>
  </si>
  <si>
    <t>lbp</t>
  </si>
  <si>
    <t>BC</t>
  </si>
  <si>
    <t>Basyirah</t>
  </si>
  <si>
    <t>Bokitta hijab lumut</t>
  </si>
  <si>
    <t>No.176 Spg. 286-141-123 Jln.Sumbui-sumbui</t>
  </si>
  <si>
    <t>RPN Lumut</t>
  </si>
  <si>
    <t>Kuala Belait</t>
  </si>
  <si>
    <t>KC 3269</t>
  </si>
  <si>
    <t>Dk.Sulfiah Pg.Abd.Rajak</t>
  </si>
  <si>
    <t>+6737177544</t>
  </si>
  <si>
    <t>dksulfiah911@gmail.com</t>
  </si>
  <si>
    <t>10% chic maxi, 60% viola maxi, 30% chic</t>
  </si>
  <si>
    <t>UBC</t>
  </si>
  <si>
    <t>UnoBoutique</t>
  </si>
  <si>
    <t>Uno By Ain Sdn Bhd</t>
  </si>
  <si>
    <t>E-04-GF, Garden Shoppe One City,</t>
  </si>
  <si>
    <t xml:space="preserve">Jalan USJ 25/1C, </t>
  </si>
  <si>
    <t>Subanjaya</t>
  </si>
  <si>
    <t>Tengku Ainun Tengku Ismail</t>
  </si>
  <si>
    <t> +60123425733 , +60380207414</t>
  </si>
  <si>
    <t>ain_kamalia82@yahoo.com</t>
  </si>
  <si>
    <t>NC</t>
  </si>
  <si>
    <t>Neesya</t>
  </si>
  <si>
    <t>A&amp;A EMPIRE SDN BHD</t>
  </si>
  <si>
    <t>Lot 306 Blok E,</t>
  </si>
  <si>
    <t xml:space="preserve"> Kg Melayu Sri Kundang</t>
  </si>
  <si>
    <t>Rawang</t>
  </si>
  <si>
    <t>Mdm Aniza Shahadan</t>
  </si>
  <si>
    <t>+6016 2419334</t>
  </si>
  <si>
    <t>mbokitta@gmail.com;anizashahadan@yahoo.com</t>
  </si>
  <si>
    <t>PUTRAJAYA (AYER@8)</t>
  </si>
  <si>
    <t>A2-G-05 Ayer@8 Shophouse 8c1 Presint 8, 62050 Putrajaya, Malaysia</t>
  </si>
  <si>
    <t>SBI</t>
  </si>
  <si>
    <t>SBINet</t>
  </si>
  <si>
    <t>SBI Net Resources</t>
  </si>
  <si>
    <t>No. 2-A Jalan Sepah Puteri 5/2</t>
  </si>
  <si>
    <t>Kota Damansara</t>
  </si>
  <si>
    <t>Petaling Jaya</t>
  </si>
  <si>
    <t>Salehah Ismail</t>
  </si>
  <si>
    <t>+60192196853</t>
  </si>
  <si>
    <t>salisma@gmail.com</t>
  </si>
  <si>
    <t>No. 13 Jalan Camar 4/2 Seksyen 4</t>
  </si>
  <si>
    <t>AE</t>
  </si>
  <si>
    <t>Ayraesb</t>
  </si>
  <si>
    <t>Bokitta Couture</t>
  </si>
  <si>
    <t>13A-1-1B, Jalan Medan PB2A</t>
  </si>
  <si>
    <t>Pusat Bandar Baru Bangi,</t>
  </si>
  <si>
    <t>Bandar Baru Bangi</t>
  </si>
  <si>
    <t>Selangor,</t>
  </si>
  <si>
    <t>Rosida Mat Deris</t>
  </si>
  <si>
    <t>+60132566090</t>
  </si>
  <si>
    <t xml:space="preserve">rosidamd@yahoo.com;bokittacouture@gmail.com </t>
  </si>
  <si>
    <t>ST</t>
  </si>
  <si>
    <t>Syahera</t>
  </si>
  <si>
    <t>Syahera Hijab</t>
  </si>
  <si>
    <t>No27, Jalan Perdana Height 2/2,</t>
  </si>
  <si>
    <t xml:space="preserve"> Lot 88 Perdana Heights,</t>
  </si>
  <si>
    <t>Sungai Petani</t>
  </si>
  <si>
    <t>Kedah</t>
  </si>
  <si>
    <t>Dana Syahera</t>
  </si>
  <si>
    <t>+60132641988</t>
  </si>
  <si>
    <t>danasyahera@gmail.com</t>
  </si>
  <si>
    <t>NU</t>
  </si>
  <si>
    <t>Nusada</t>
  </si>
  <si>
    <t>PT Nusada Kreasi Fontana</t>
  </si>
  <si>
    <t>Rukan Taman Meruya Block M No. 8 RT. 004</t>
  </si>
  <si>
    <t>Kel. Meruya Utara Kec. Kembangan</t>
  </si>
  <si>
    <t>Jakarta Barat DKI Jakarta</t>
  </si>
  <si>
    <t>Meruya Utara</t>
  </si>
  <si>
    <t>Indonesia</t>
  </si>
  <si>
    <t>Jemmy</t>
  </si>
  <si>
    <t>+62816974593</t>
  </si>
  <si>
    <t>jemmy.rizki@bokitta.com;nader.dalbani@bokitta.com</t>
  </si>
  <si>
    <t>Resellers\Indonesia</t>
  </si>
  <si>
    <t>id</t>
  </si>
  <si>
    <t>NC1</t>
  </si>
  <si>
    <t>Neesya1</t>
  </si>
  <si>
    <t>A&amp;A EMPIRE SDN BHD - Parkson Setia City Mall</t>
  </si>
  <si>
    <t>NC2</t>
  </si>
  <si>
    <t>Neesya2</t>
  </si>
  <si>
    <t>A&amp;A EMPIRE SDN BHD - Parkson MyTown mall</t>
  </si>
  <si>
    <t>NC3</t>
  </si>
  <si>
    <t>Neesya3</t>
  </si>
  <si>
    <t>A&amp;A EMPIRE SDN BHD - Parkson KLCC</t>
  </si>
  <si>
    <t>BR1</t>
  </si>
  <si>
    <t>Hqube1</t>
  </si>
  <si>
    <t>Hqube KL Enterprise - Parkson Subang Parade</t>
  </si>
  <si>
    <t>UBC1</t>
  </si>
  <si>
    <t>UnoBoutique1</t>
  </si>
  <si>
    <t>Uno By Ain Sdn Bhd - Parkson Pavillion</t>
  </si>
  <si>
    <t>UBC2</t>
  </si>
  <si>
    <t>UnoBoutique2</t>
  </si>
  <si>
    <t>Uno By Ain Sdn Bhd -  Parkson Fahrenheit</t>
  </si>
  <si>
    <t>BH1</t>
  </si>
  <si>
    <t>BokittaHijabista1</t>
  </si>
  <si>
    <t>Ad Leqha Holding Sdn Bhd - Parkson IOI</t>
  </si>
  <si>
    <t>FC1</t>
  </si>
  <si>
    <t>FilzCloset1</t>
  </si>
  <si>
    <t>Naylis Teguh Enterprise - Parkson ECM</t>
  </si>
  <si>
    <t>husband Nizam</t>
  </si>
  <si>
    <t>za</t>
  </si>
  <si>
    <t>zalora</t>
  </si>
  <si>
    <t>Zalora South East Asia Pte. Ltd.</t>
  </si>
  <si>
    <t xml:space="preserve">MapleTree Distripark Block A,, </t>
  </si>
  <si>
    <t xml:space="preserve"> 14 Persiaran Perusahaan, Seksyen 23</t>
  </si>
  <si>
    <t>Tiago Bruno De Sousa Vieira Da Silva Alves</t>
  </si>
  <si>
    <t>+6590075420</t>
  </si>
  <si>
    <t xml:space="preserve">nader.dalbani@bokitta.com;sherouk.saleh@bokitta.com </t>
  </si>
  <si>
    <t>Head of Brand Acquisition</t>
  </si>
  <si>
    <t>zalora price</t>
  </si>
  <si>
    <t>BM1</t>
  </si>
  <si>
    <t>BokittaMalaysia1</t>
  </si>
  <si>
    <t>NM</t>
  </si>
  <si>
    <t>NiceMatch</t>
  </si>
  <si>
    <t>NICEMATCH (M) SDN BHD</t>
  </si>
  <si>
    <t>NO.33-1&amp;2</t>
  </si>
  <si>
    <t>JALAN SL 1/3</t>
  </si>
  <si>
    <t>BANDAR SUNGAI LONG</t>
  </si>
  <si>
    <t>43000 KAJANG</t>
  </si>
  <si>
    <t>TRICIA AU YONG</t>
  </si>
  <si>
    <t>+6 019-3188 345 / 603-9074 7418</t>
  </si>
  <si>
    <t>nicemach@gmail.com</t>
  </si>
  <si>
    <t>Owner</t>
  </si>
  <si>
    <t>BHQ1</t>
  </si>
  <si>
    <t>BokittaBeirut1</t>
  </si>
  <si>
    <t>BokSG</t>
  </si>
  <si>
    <t>BokittaSing</t>
  </si>
  <si>
    <t>Bokitta Singapore</t>
  </si>
  <si>
    <t xml:space="preserve">27a jalan Membina #03-142 </t>
  </si>
  <si>
    <t>Singapore</t>
  </si>
  <si>
    <t>SINGAPORE</t>
  </si>
  <si>
    <t>Zahirah Abdul Rahman</t>
  </si>
  <si>
    <t> +65 9002 9472</t>
  </si>
  <si>
    <t> zahirah_84@yahoo.com.sg</t>
  </si>
  <si>
    <t>Resellers\Singapore</t>
  </si>
  <si>
    <t>sg</t>
  </si>
  <si>
    <t>SG</t>
  </si>
  <si>
    <t>sgd</t>
  </si>
  <si>
    <t>BT</t>
  </si>
  <si>
    <t>BabyTwinkle</t>
  </si>
  <si>
    <t>Baby Twinkle Sdn Bhd</t>
  </si>
  <si>
    <t xml:space="preserve">No. 2-1, Jalan Puteri 1/2, </t>
  </si>
  <si>
    <t>Bandar Puteri Puchong</t>
  </si>
  <si>
    <t>Puchong</t>
  </si>
  <si>
    <t>wan arni yusnida wan husain</t>
  </si>
  <si>
    <t>+60192185992</t>
  </si>
  <si>
    <t>babytwinkle.sb@gmail.com</t>
  </si>
  <si>
    <t>NR</t>
  </si>
  <si>
    <t>Nadjwa</t>
  </si>
  <si>
    <t>Pn Mas Nadjwa Binti Rahmat</t>
  </si>
  <si>
    <t>No 1, Jalan Mawar Satu</t>
  </si>
  <si>
    <t>Taman Sultan Badlishah</t>
  </si>
  <si>
    <t>Persiaran Sultan Hamid</t>
  </si>
  <si>
    <t xml:space="preserve"> Kedah Alor Setar</t>
  </si>
  <si>
    <t>05050</t>
  </si>
  <si>
    <t>+60194722122</t>
  </si>
  <si>
    <t>nadjwarahmat@gmail.com</t>
  </si>
  <si>
    <t>BJ</t>
  </si>
  <si>
    <t>Bakka</t>
  </si>
  <si>
    <t>BAYT AL-TASMEEM AL-ISLAMI</t>
  </si>
  <si>
    <t>SWEAFIEH</t>
  </si>
  <si>
    <t>Queen alia airport</t>
  </si>
  <si>
    <t>Amman</t>
  </si>
  <si>
    <t>Jordan</t>
  </si>
  <si>
    <t>Hussian Jaafarawi</t>
  </si>
  <si>
    <t>+962797957003</t>
  </si>
  <si>
    <t>hussein_jafarawi@hotmail.com</t>
  </si>
  <si>
    <t>Resellers\jordan</t>
  </si>
  <si>
    <t>CostPlusD</t>
  </si>
  <si>
    <t>jo</t>
  </si>
  <si>
    <t>jod</t>
  </si>
  <si>
    <t>AFD</t>
  </si>
  <si>
    <t>Almustakbal</t>
  </si>
  <si>
    <t>Almustakbal Fashion Design</t>
  </si>
  <si>
    <t>King Faisal Street, Crystal Plaza Towers, shop no. 4</t>
  </si>
  <si>
    <t>Tel: 065741817</t>
  </si>
  <si>
    <t>Sharjah</t>
  </si>
  <si>
    <t>UAE</t>
  </si>
  <si>
    <t>Azhar Jaber</t>
  </si>
  <si>
    <t>+9714503089090</t>
  </si>
  <si>
    <t>azhar@islamicdesignhouse.com;hussein_jafarawi@hotmail.com</t>
  </si>
  <si>
    <t>Resellers\UAE</t>
  </si>
  <si>
    <t>ue</t>
  </si>
  <si>
    <t>ued</t>
  </si>
  <si>
    <t>SQKB</t>
  </si>
  <si>
    <t>Sequins</t>
  </si>
  <si>
    <t>Airenee Enterprise </t>
  </si>
  <si>
    <t xml:space="preserve">Sequins Boutique, Lot 244 Simpang 3, </t>
  </si>
  <si>
    <t>Pengkalan Chepa</t>
  </si>
  <si>
    <t>Kota Bharu </t>
  </si>
  <si>
    <t>Kelantan</t>
  </si>
  <si>
    <t>Airen Nas Ruddin </t>
  </si>
  <si>
    <t>+60139230847</t>
  </si>
  <si>
    <t>airen_sequins@yahoo.com.my</t>
  </si>
  <si>
    <t>IFW</t>
  </si>
  <si>
    <t>Mohammad Mubde ABSI, Bokitta, Indonesia Fashion Week</t>
  </si>
  <si>
    <t>Fraser Place</t>
  </si>
  <si>
    <t xml:space="preserve"> Jl. Setiabudi Selatan Raya No. 2</t>
  </si>
  <si>
    <t>Jakarta Selatan</t>
  </si>
  <si>
    <t>Mohammad Mubde ABSI</t>
  </si>
  <si>
    <t>+628777183575, Whatsapp:+9613224141</t>
  </si>
  <si>
    <t>mubdeabsi@gmail.com</t>
  </si>
  <si>
    <t>idr</t>
  </si>
  <si>
    <t>BSG</t>
  </si>
  <si>
    <t>BokittaSG</t>
  </si>
  <si>
    <t>Bokitta SG</t>
  </si>
  <si>
    <t>Blk 169c Punggol field #04-669</t>
  </si>
  <si>
    <t>the nautilus  s(823169)</t>
  </si>
  <si>
    <t>Radiah Binte Jamil</t>
  </si>
  <si>
    <t>+6584993499</t>
  </si>
  <si>
    <t>radiahjamil@gmail.com</t>
  </si>
  <si>
    <t>Voila : 80Voila maxi : 400Chic : 300Chic maxi: 80</t>
  </si>
  <si>
    <t>MK</t>
  </si>
  <si>
    <t>Mokhminah</t>
  </si>
  <si>
    <t>Siti Mokhminah Kula</t>
  </si>
  <si>
    <t xml:space="preserve">Brunei Muara </t>
  </si>
  <si>
    <t>Brunei Muara</t>
  </si>
  <si>
    <t>BE3119</t>
  </si>
  <si>
    <t>+6738620801</t>
  </si>
  <si>
    <t>mokhminah.kula@dst-group.com</t>
  </si>
  <si>
    <t>Resellers\brunei</t>
  </si>
  <si>
    <t>HUP</t>
  </si>
  <si>
    <t>AA</t>
  </si>
  <si>
    <t>MidKollections</t>
  </si>
  <si>
    <t>mid kollections</t>
  </si>
  <si>
    <t xml:space="preserve">Suite GF3, A.G.A Memorial complex </t>
  </si>
  <si>
    <t xml:space="preserve">behind GTBank Area 11 Garki </t>
  </si>
  <si>
    <t>Abuja</t>
  </si>
  <si>
    <t>Nigeria</t>
  </si>
  <si>
    <t>Adetona AbdulHameed</t>
  </si>
  <si>
    <t>+2348031113598</t>
  </si>
  <si>
    <t>Resellers\nigeria</t>
  </si>
  <si>
    <t>ng</t>
  </si>
  <si>
    <t>IDK</t>
  </si>
  <si>
    <t>ID Kuwait</t>
  </si>
  <si>
    <t>M/S. Tabarak European Group T &amp; C Co.</t>
  </si>
  <si>
    <t>Kuwait International Airport</t>
  </si>
  <si>
    <t>Qibla</t>
  </si>
  <si>
    <t>Kuwait</t>
  </si>
  <si>
    <t>KUWAIT</t>
  </si>
  <si>
    <t>Dia Akram AlAgbar</t>
  </si>
  <si>
    <t>+96597691661</t>
  </si>
  <si>
    <t>Resellers\Kuwait</t>
  </si>
  <si>
    <t>ku</t>
  </si>
  <si>
    <t>kud</t>
  </si>
  <si>
    <t>BokittaBonita</t>
  </si>
  <si>
    <t>Bokitta Bonita</t>
  </si>
  <si>
    <t>45, Jln AU 1C/2E</t>
  </si>
  <si>
    <t>Taman Keramat Permai</t>
  </si>
  <si>
    <t>Azizah mohamed</t>
  </si>
  <si>
    <t>+6012-2071510</t>
  </si>
  <si>
    <t>BV</t>
  </si>
  <si>
    <t>BokittaVoila</t>
  </si>
  <si>
    <t>Bokitta Voila</t>
  </si>
  <si>
    <t>3610 TAMAN MAKMUR JAYA</t>
  </si>
  <si>
    <t>JALAN GAMELAN</t>
  </si>
  <si>
    <t>KUCHING</t>
  </si>
  <si>
    <t>SARAWAK</t>
  </si>
  <si>
    <t>DAYANG ZULIZIA BINTI AWANG BUJANG</t>
  </si>
  <si>
    <t>+6 016 2024244</t>
  </si>
  <si>
    <t>DM</t>
  </si>
  <si>
    <t>DMEA</t>
  </si>
  <si>
    <t>E-2-12A</t>
  </si>
  <si>
    <t>BLOK E JLN PJU 1A/3M, TAIPAN 1 ARA</t>
  </si>
  <si>
    <t>DAMANSARA</t>
  </si>
  <si>
    <t>Pataling Jaya</t>
  </si>
  <si>
    <t>ANIS ARIANTI ARIFFIN</t>
  </si>
  <si>
    <t>+60133574200</t>
  </si>
  <si>
    <t>dmea96@gmail.com</t>
  </si>
  <si>
    <t>IDU</t>
  </si>
  <si>
    <t>ID Uganda</t>
  </si>
  <si>
    <t>Grand imperial shopping mall</t>
  </si>
  <si>
    <t>No 36</t>
  </si>
  <si>
    <t>Speke road</t>
  </si>
  <si>
    <t>Kampala</t>
  </si>
  <si>
    <t>Uganda</t>
  </si>
  <si>
    <t>Aisha Muwonge</t>
  </si>
  <si>
    <t>+256 755 554 713</t>
  </si>
  <si>
    <t>mu_aisha@yahoo.com</t>
  </si>
  <si>
    <t>Resellers\uganda</t>
  </si>
  <si>
    <t>ug</t>
  </si>
  <si>
    <t>KS</t>
  </si>
  <si>
    <t>Kenza</t>
  </si>
  <si>
    <t>TECNOSANI HAY ESSAFA</t>
  </si>
  <si>
    <t>N°42 LISSASFA</t>
  </si>
  <si>
    <t>CASABLANCA</t>
  </si>
  <si>
    <t>Maroc</t>
  </si>
  <si>
    <t>Mr: CHARKI ABDESSAMAD</t>
  </si>
  <si>
    <t>+212 661901589</t>
  </si>
  <si>
    <t>serghini.kanza@gmail.com</t>
  </si>
  <si>
    <t>Resellers\Morocco</t>
  </si>
  <si>
    <t>ma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</si>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</sst>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FA66-A35C-4968-B2E9-658C5E22CAED}">
  <dimension ref="A1:CZ53"/>
  <sheetViews>
    <sheetView tabSelected="1" workbookViewId="0">
      <pane xSplit="3" ySplit="3" topLeftCell="BG6" activePane="bottomRight" state="frozen"/>
      <selection pane="topRight" activeCell="D1" sqref="D1"/>
      <selection pane="bottomLeft" activeCell="A4" sqref="A4"/>
      <selection pane="bottomRight" activeCell="BV4" sqref="BV4:BY37"/>
    </sheetView>
  </sheetViews>
  <sheetFormatPr defaultRowHeight="15" x14ac:dyDescent="0.25"/>
  <sheetData>
    <row r="1" spans="1:104" x14ac:dyDescent="0.25">
      <c r="A1" t="s">
        <v>0</v>
      </c>
      <c r="B1" t="s">
        <v>1</v>
      </c>
      <c r="C1">
        <v>2500</v>
      </c>
      <c r="AI1" t="s">
        <v>2</v>
      </c>
      <c r="BD1" t="s">
        <v>2</v>
      </c>
      <c r="BV1" t="s">
        <v>2</v>
      </c>
      <c r="CN1" t="s">
        <v>3</v>
      </c>
    </row>
    <row r="2" spans="1:104" x14ac:dyDescent="0.25">
      <c r="C2">
        <v>8</v>
      </c>
      <c r="D2">
        <v>8</v>
      </c>
      <c r="AI2" t="s">
        <v>4</v>
      </c>
      <c r="AJ2" t="s">
        <v>5</v>
      </c>
      <c r="AK2" t="s">
        <v>6</v>
      </c>
      <c r="AL2" t="s">
        <v>7</v>
      </c>
      <c r="AM2" t="s">
        <v>8</v>
      </c>
      <c r="AN2" t="s">
        <v>9</v>
      </c>
      <c r="AO2" t="s">
        <v>10</v>
      </c>
      <c r="AP2" t="s">
        <v>11</v>
      </c>
      <c r="AQ2" t="s">
        <v>12</v>
      </c>
      <c r="AR2" t="s">
        <v>13</v>
      </c>
      <c r="AS2" t="s">
        <v>14</v>
      </c>
      <c r="AT2" t="s">
        <v>15</v>
      </c>
      <c r="AU2" t="s">
        <v>16</v>
      </c>
      <c r="AV2" t="s">
        <v>17</v>
      </c>
      <c r="BD2" t="s">
        <v>4</v>
      </c>
      <c r="BE2" t="s">
        <v>5</v>
      </c>
      <c r="BF2" t="s">
        <v>6</v>
      </c>
      <c r="BG2" t="s">
        <v>7</v>
      </c>
      <c r="BH2" t="s">
        <v>8</v>
      </c>
      <c r="BI2" t="s">
        <v>9</v>
      </c>
      <c r="BJ2" t="s">
        <v>10</v>
      </c>
      <c r="BK2" t="s">
        <v>11</v>
      </c>
      <c r="BL2" t="s">
        <v>18</v>
      </c>
      <c r="BM2" t="s">
        <v>13</v>
      </c>
      <c r="BN2" t="s">
        <v>14</v>
      </c>
      <c r="BV2" t="s">
        <v>4</v>
      </c>
      <c r="BW2" t="s">
        <v>5</v>
      </c>
      <c r="BX2" t="s">
        <v>6</v>
      </c>
      <c r="BY2" t="s">
        <v>7</v>
      </c>
      <c r="BZ2" t="s">
        <v>8</v>
      </c>
      <c r="CA2" t="s">
        <v>9</v>
      </c>
      <c r="CB2" t="s">
        <v>10</v>
      </c>
      <c r="CC2" t="s">
        <v>11</v>
      </c>
      <c r="CD2" t="s">
        <v>18</v>
      </c>
      <c r="CE2" t="s">
        <v>13</v>
      </c>
      <c r="CF2" t="s">
        <v>14</v>
      </c>
      <c r="CN2" t="s">
        <v>4</v>
      </c>
      <c r="CO2" t="s">
        <v>5</v>
      </c>
      <c r="CP2" t="s">
        <v>6</v>
      </c>
      <c r="CQ2" t="s">
        <v>7</v>
      </c>
      <c r="CR2" t="s">
        <v>8</v>
      </c>
      <c r="CS2" t="s">
        <v>9</v>
      </c>
    </row>
    <row r="3" spans="1:104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0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 t="s">
        <v>43</v>
      </c>
      <c r="AA3" t="s">
        <v>44</v>
      </c>
      <c r="AB3" t="s">
        <v>45</v>
      </c>
      <c r="AC3" t="s">
        <v>46</v>
      </c>
      <c r="AD3" t="s">
        <v>47</v>
      </c>
      <c r="AE3" t="s">
        <v>48</v>
      </c>
      <c r="AF3" t="s">
        <v>49</v>
      </c>
      <c r="AG3" t="s">
        <v>50</v>
      </c>
      <c r="AH3" t="s">
        <v>51</v>
      </c>
      <c r="AI3" t="s">
        <v>52</v>
      </c>
      <c r="AW3" t="s">
        <v>53</v>
      </c>
      <c r="AX3" t="s">
        <v>54</v>
      </c>
      <c r="AY3" t="s">
        <v>55</v>
      </c>
      <c r="AZ3" t="s">
        <v>56</v>
      </c>
      <c r="BA3" t="s">
        <v>57</v>
      </c>
      <c r="BB3" t="s">
        <v>56</v>
      </c>
      <c r="BC3" t="s">
        <v>58</v>
      </c>
      <c r="BD3" t="s">
        <v>59</v>
      </c>
      <c r="BO3" t="s">
        <v>53</v>
      </c>
      <c r="BP3" t="s">
        <v>54</v>
      </c>
      <c r="BQ3" t="s">
        <v>55</v>
      </c>
      <c r="BR3" t="s">
        <v>56</v>
      </c>
      <c r="BS3" t="s">
        <v>57</v>
      </c>
      <c r="BT3" t="s">
        <v>56</v>
      </c>
      <c r="BU3" t="s">
        <v>58</v>
      </c>
      <c r="BV3" t="s">
        <v>60</v>
      </c>
      <c r="CG3" t="s">
        <v>53</v>
      </c>
      <c r="CH3" t="s">
        <v>54</v>
      </c>
      <c r="CI3" t="s">
        <v>57</v>
      </c>
      <c r="CJ3" t="s">
        <v>56</v>
      </c>
      <c r="CK3" t="s">
        <v>57</v>
      </c>
      <c r="CL3" t="s">
        <v>56</v>
      </c>
      <c r="CM3" t="s">
        <v>58</v>
      </c>
      <c r="CN3" t="s">
        <v>61</v>
      </c>
      <c r="CT3" t="s">
        <v>53</v>
      </c>
      <c r="CU3" t="s">
        <v>54</v>
      </c>
      <c r="CV3" t="s">
        <v>57</v>
      </c>
      <c r="CW3" t="s">
        <v>56</v>
      </c>
      <c r="CX3" t="s">
        <v>57</v>
      </c>
      <c r="CY3" t="s">
        <v>56</v>
      </c>
      <c r="CZ3" t="s">
        <v>58</v>
      </c>
    </row>
    <row r="4" spans="1:104" x14ac:dyDescent="0.25">
      <c r="A4">
        <f>BB4</f>
        <v>480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>
        <v>64000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>
        <v>1.75</v>
      </c>
      <c r="T4">
        <v>0</v>
      </c>
      <c r="U4" t="s">
        <v>76</v>
      </c>
      <c r="V4" t="s">
        <v>77</v>
      </c>
      <c r="W4" t="s">
        <v>78</v>
      </c>
      <c r="X4">
        <v>1</v>
      </c>
      <c r="Y4">
        <v>1</v>
      </c>
      <c r="AC4">
        <v>42439</v>
      </c>
      <c r="AH4" t="s">
        <v>79</v>
      </c>
      <c r="AI4" s="1">
        <v>5</v>
      </c>
      <c r="AJ4" s="1">
        <v>5</v>
      </c>
      <c r="AK4" s="1">
        <v>0</v>
      </c>
      <c r="AL4" s="1">
        <v>0</v>
      </c>
      <c r="AM4">
        <v>0</v>
      </c>
      <c r="AO4">
        <v>0</v>
      </c>
      <c r="AP4">
        <v>0</v>
      </c>
      <c r="AQ4">
        <v>0</v>
      </c>
      <c r="AT4">
        <v>0</v>
      </c>
      <c r="AU4">
        <v>0</v>
      </c>
      <c r="AV4">
        <v>0</v>
      </c>
      <c r="AW4">
        <v>1</v>
      </c>
      <c r="AX4">
        <f t="shared" ref="AX4:AX45" si="0">SUM(AI4:AL4)</f>
        <v>10</v>
      </c>
      <c r="AY4">
        <v>6</v>
      </c>
      <c r="AZ4">
        <f t="shared" ref="AZ4:AZ45" si="1">AX4*AY4</f>
        <v>60</v>
      </c>
      <c r="BA4">
        <f t="shared" ref="BA4:BA45" si="2">12*3+12</f>
        <v>48</v>
      </c>
      <c r="BB4">
        <f>AX4*BA4</f>
        <v>480</v>
      </c>
      <c r="BC4">
        <f>BB4*10</f>
        <v>4800</v>
      </c>
      <c r="BD4">
        <f t="shared" ref="BD4:BJ19" si="3">MROUND(AI4/2,5)</f>
        <v>5</v>
      </c>
      <c r="BE4">
        <f t="shared" si="3"/>
        <v>5</v>
      </c>
      <c r="BF4">
        <f t="shared" si="3"/>
        <v>0</v>
      </c>
      <c r="BG4">
        <f t="shared" si="3"/>
        <v>0</v>
      </c>
      <c r="BH4">
        <f t="shared" si="3"/>
        <v>0</v>
      </c>
      <c r="BI4">
        <f t="shared" si="3"/>
        <v>0</v>
      </c>
      <c r="BJ4">
        <f t="shared" si="3"/>
        <v>0</v>
      </c>
      <c r="BK4">
        <v>0</v>
      </c>
      <c r="BL4">
        <v>0</v>
      </c>
      <c r="BO4">
        <v>1</v>
      </c>
      <c r="BP4">
        <f>SUM(BD4:BG4)</f>
        <v>10</v>
      </c>
      <c r="BQ4">
        <v>6</v>
      </c>
      <c r="BR4">
        <f t="shared" ref="BR4:BR45" si="4">BP4*BQ4</f>
        <v>60</v>
      </c>
      <c r="BS4">
        <f t="shared" ref="BS4:BS45" si="5">12*3+12</f>
        <v>48</v>
      </c>
      <c r="BT4">
        <f>BP4*BS4</f>
        <v>480</v>
      </c>
      <c r="BU4">
        <f>BT4*10</f>
        <v>4800</v>
      </c>
      <c r="BV4" s="1">
        <v>5</v>
      </c>
      <c r="BW4" s="1">
        <v>5</v>
      </c>
      <c r="BX4" s="1">
        <v>0</v>
      </c>
      <c r="BY4" s="1">
        <v>0</v>
      </c>
      <c r="BZ4">
        <v>0</v>
      </c>
      <c r="CA4">
        <v>30</v>
      </c>
      <c r="CB4">
        <v>0</v>
      </c>
      <c r="CC4">
        <v>0</v>
      </c>
      <c r="CD4">
        <v>0</v>
      </c>
      <c r="CG4">
        <v>1</v>
      </c>
      <c r="CH4">
        <f>SUM(BV4:BY4)</f>
        <v>10</v>
      </c>
      <c r="CI4">
        <v>6</v>
      </c>
      <c r="CJ4">
        <f t="shared" ref="CJ4:CJ9" si="6">CH4*CI4</f>
        <v>60</v>
      </c>
      <c r="CK4">
        <f t="shared" ref="CK4:CK45" si="7">12*3+12</f>
        <v>48</v>
      </c>
      <c r="CL4">
        <f>CH4*CK4</f>
        <v>480</v>
      </c>
      <c r="CM4">
        <f>CL4*10</f>
        <v>4800</v>
      </c>
      <c r="CN4">
        <f>MROUND(AI4/2,5)</f>
        <v>5</v>
      </c>
      <c r="CO4">
        <f t="shared" ref="CN4:CS32" si="8">MROUND(AJ4/2,5)</f>
        <v>5</v>
      </c>
      <c r="CP4">
        <f t="shared" si="8"/>
        <v>0</v>
      </c>
      <c r="CQ4">
        <f t="shared" si="8"/>
        <v>0</v>
      </c>
      <c r="CR4">
        <f t="shared" si="8"/>
        <v>0</v>
      </c>
      <c r="CS4">
        <f t="shared" si="8"/>
        <v>0</v>
      </c>
      <c r="CT4">
        <v>1</v>
      </c>
      <c r="CU4">
        <f>SUM(CN4:CQ4)</f>
        <v>10</v>
      </c>
      <c r="CV4">
        <v>6</v>
      </c>
      <c r="CW4">
        <f t="shared" ref="CW4:CW9" si="9">CU4*CV4</f>
        <v>60</v>
      </c>
      <c r="CX4">
        <f t="shared" ref="CX4:CX45" si="10">12*3+12</f>
        <v>48</v>
      </c>
      <c r="CY4">
        <f>CU4*CX4</f>
        <v>480</v>
      </c>
      <c r="CZ4">
        <f>CY4*10</f>
        <v>4800</v>
      </c>
    </row>
    <row r="5" spans="1:104" x14ac:dyDescent="0.25">
      <c r="A5">
        <f t="shared" ref="A5:A52" si="11">BB5</f>
        <v>21600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  <c r="G5" t="s">
        <v>85</v>
      </c>
      <c r="H5" t="s">
        <v>86</v>
      </c>
      <c r="I5">
        <v>47810</v>
      </c>
      <c r="J5" t="s">
        <v>69</v>
      </c>
      <c r="K5" t="s">
        <v>87</v>
      </c>
      <c r="L5" t="s">
        <v>88</v>
      </c>
      <c r="M5" t="s">
        <v>89</v>
      </c>
      <c r="N5" t="s">
        <v>90</v>
      </c>
      <c r="O5" t="s">
        <v>74</v>
      </c>
      <c r="P5" t="s">
        <v>75</v>
      </c>
      <c r="Q5">
        <v>1.75</v>
      </c>
      <c r="T5">
        <v>0</v>
      </c>
      <c r="U5" t="s">
        <v>76</v>
      </c>
      <c r="V5" t="s">
        <v>77</v>
      </c>
      <c r="W5" t="s">
        <v>78</v>
      </c>
      <c r="X5">
        <v>1</v>
      </c>
      <c r="Y5">
        <v>1</v>
      </c>
      <c r="AB5">
        <v>1</v>
      </c>
      <c r="AC5">
        <v>42439</v>
      </c>
      <c r="AG5">
        <v>1</v>
      </c>
      <c r="AH5" t="s">
        <v>79</v>
      </c>
      <c r="AI5" s="1">
        <v>80</v>
      </c>
      <c r="AJ5" s="1">
        <v>250</v>
      </c>
      <c r="AK5" s="1">
        <v>100</v>
      </c>
      <c r="AL5" s="1">
        <v>20</v>
      </c>
      <c r="AM5">
        <v>60</v>
      </c>
      <c r="AN5">
        <v>30</v>
      </c>
      <c r="AO5">
        <v>40</v>
      </c>
      <c r="AP5">
        <v>40</v>
      </c>
      <c r="AQ5">
        <v>40</v>
      </c>
      <c r="AT5">
        <v>40</v>
      </c>
      <c r="AU5">
        <v>40</v>
      </c>
      <c r="AV5">
        <v>40</v>
      </c>
      <c r="AW5">
        <v>1</v>
      </c>
      <c r="AX5">
        <f t="shared" si="0"/>
        <v>450</v>
      </c>
      <c r="AY5">
        <v>6</v>
      </c>
      <c r="AZ5">
        <f t="shared" si="1"/>
        <v>2700</v>
      </c>
      <c r="BA5">
        <f t="shared" si="2"/>
        <v>48</v>
      </c>
      <c r="BB5">
        <f>AX5*BA5</f>
        <v>21600</v>
      </c>
      <c r="BC5">
        <f t="shared" ref="BC5:BC45" si="12">BB5*10</f>
        <v>216000</v>
      </c>
      <c r="BD5">
        <f t="shared" si="3"/>
        <v>40</v>
      </c>
      <c r="BE5">
        <f t="shared" si="3"/>
        <v>125</v>
      </c>
      <c r="BF5">
        <f t="shared" si="3"/>
        <v>50</v>
      </c>
      <c r="BG5">
        <f t="shared" si="3"/>
        <v>10</v>
      </c>
      <c r="BH5">
        <f t="shared" si="3"/>
        <v>30</v>
      </c>
      <c r="BI5">
        <f>MROUND(AN5/2,5)</f>
        <v>15</v>
      </c>
      <c r="BJ5">
        <f t="shared" si="3"/>
        <v>20</v>
      </c>
      <c r="BK5">
        <v>40</v>
      </c>
      <c r="BL5">
        <v>40</v>
      </c>
      <c r="BO5">
        <v>1</v>
      </c>
      <c r="BP5">
        <f t="shared" ref="BP5:BP45" si="13">SUM(BD5:BG5)</f>
        <v>225</v>
      </c>
      <c r="BQ5">
        <v>6</v>
      </c>
      <c r="BR5">
        <f t="shared" si="4"/>
        <v>1350</v>
      </c>
      <c r="BS5">
        <f t="shared" si="5"/>
        <v>48</v>
      </c>
      <c r="BT5">
        <f>BP5*BS5</f>
        <v>10800</v>
      </c>
      <c r="BU5">
        <f t="shared" ref="BU5:BU45" si="14">BT5*10</f>
        <v>108000</v>
      </c>
      <c r="BV5" s="1">
        <v>80</v>
      </c>
      <c r="BW5" s="1">
        <v>250</v>
      </c>
      <c r="BX5" s="1">
        <v>100</v>
      </c>
      <c r="BY5" s="1">
        <v>20</v>
      </c>
      <c r="BZ5">
        <v>30</v>
      </c>
      <c r="CA5">
        <v>30</v>
      </c>
      <c r="CB5">
        <v>40</v>
      </c>
      <c r="CC5">
        <v>40</v>
      </c>
      <c r="CD5">
        <v>40</v>
      </c>
      <c r="CG5">
        <v>1</v>
      </c>
      <c r="CH5">
        <f t="shared" ref="CH5:CH45" si="15">SUM(BV5:BY5)</f>
        <v>450</v>
      </c>
      <c r="CI5">
        <v>6</v>
      </c>
      <c r="CJ5">
        <f t="shared" si="6"/>
        <v>2700</v>
      </c>
      <c r="CK5">
        <f t="shared" si="7"/>
        <v>48</v>
      </c>
      <c r="CL5">
        <f>CH5*CK5</f>
        <v>21600</v>
      </c>
      <c r="CM5">
        <f t="shared" ref="CM5:CM45" si="16">CL5*10</f>
        <v>216000</v>
      </c>
      <c r="CN5">
        <f t="shared" si="8"/>
        <v>40</v>
      </c>
      <c r="CO5">
        <f t="shared" si="8"/>
        <v>125</v>
      </c>
      <c r="CP5">
        <f t="shared" si="8"/>
        <v>50</v>
      </c>
      <c r="CQ5">
        <f t="shared" si="8"/>
        <v>10</v>
      </c>
      <c r="CR5">
        <f t="shared" si="8"/>
        <v>30</v>
      </c>
      <c r="CS5">
        <f t="shared" si="8"/>
        <v>15</v>
      </c>
      <c r="CT5">
        <v>1</v>
      </c>
      <c r="CU5">
        <f t="shared" ref="CU5:CU45" si="17">SUM(CN5:CQ5)</f>
        <v>225</v>
      </c>
      <c r="CV5">
        <v>6</v>
      </c>
      <c r="CW5">
        <f t="shared" si="9"/>
        <v>1350</v>
      </c>
      <c r="CX5">
        <f t="shared" si="10"/>
        <v>48</v>
      </c>
      <c r="CY5">
        <f>CU5*CX5</f>
        <v>10800</v>
      </c>
      <c r="CZ5">
        <f t="shared" ref="CZ5:CZ45" si="18">CY5*10</f>
        <v>108000</v>
      </c>
    </row>
    <row r="6" spans="1:104" x14ac:dyDescent="0.25">
      <c r="A6">
        <f t="shared" si="11"/>
        <v>26400</v>
      </c>
      <c r="B6" t="s">
        <v>91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  <c r="H6" t="s">
        <v>96</v>
      </c>
      <c r="I6">
        <v>60000</v>
      </c>
      <c r="J6" t="s">
        <v>69</v>
      </c>
      <c r="K6" t="s">
        <v>97</v>
      </c>
      <c r="L6" t="s">
        <v>98</v>
      </c>
      <c r="M6" t="s">
        <v>99</v>
      </c>
      <c r="N6" t="s">
        <v>90</v>
      </c>
      <c r="O6" t="s">
        <v>74</v>
      </c>
      <c r="P6" t="s">
        <v>75</v>
      </c>
      <c r="Q6">
        <v>1.75</v>
      </c>
      <c r="T6">
        <v>0</v>
      </c>
      <c r="U6" t="s">
        <v>76</v>
      </c>
      <c r="V6" t="s">
        <v>77</v>
      </c>
      <c r="W6" t="s">
        <v>78</v>
      </c>
      <c r="X6">
        <v>1</v>
      </c>
      <c r="Y6">
        <v>1</v>
      </c>
      <c r="AB6">
        <v>1</v>
      </c>
      <c r="AC6">
        <v>42439</v>
      </c>
      <c r="AG6">
        <v>1</v>
      </c>
      <c r="AH6" t="s">
        <v>79</v>
      </c>
      <c r="AI6" s="1">
        <v>140</v>
      </c>
      <c r="AJ6" s="1">
        <v>300</v>
      </c>
      <c r="AK6" s="1">
        <v>80</v>
      </c>
      <c r="AL6" s="1">
        <v>30</v>
      </c>
      <c r="AM6">
        <v>30</v>
      </c>
      <c r="AN6">
        <v>30</v>
      </c>
      <c r="AO6">
        <v>40</v>
      </c>
      <c r="AP6">
        <v>40</v>
      </c>
      <c r="AQ6">
        <v>40</v>
      </c>
      <c r="AT6">
        <v>40</v>
      </c>
      <c r="AU6">
        <v>40</v>
      </c>
      <c r="AV6">
        <v>40</v>
      </c>
      <c r="AW6">
        <v>1</v>
      </c>
      <c r="AX6">
        <f t="shared" si="0"/>
        <v>550</v>
      </c>
      <c r="AY6">
        <v>6</v>
      </c>
      <c r="AZ6">
        <f t="shared" si="1"/>
        <v>3300</v>
      </c>
      <c r="BA6">
        <f t="shared" si="2"/>
        <v>48</v>
      </c>
      <c r="BB6">
        <f>AX6*BA6</f>
        <v>26400</v>
      </c>
      <c r="BC6">
        <f t="shared" si="12"/>
        <v>264000</v>
      </c>
      <c r="BD6">
        <f t="shared" si="3"/>
        <v>70</v>
      </c>
      <c r="BE6">
        <f t="shared" si="3"/>
        <v>150</v>
      </c>
      <c r="BF6">
        <f t="shared" si="3"/>
        <v>40</v>
      </c>
      <c r="BG6">
        <f t="shared" si="3"/>
        <v>15</v>
      </c>
      <c r="BH6">
        <f t="shared" si="3"/>
        <v>15</v>
      </c>
      <c r="BI6">
        <f>MROUND(AN6/2,5)</f>
        <v>15</v>
      </c>
      <c r="BJ6">
        <f t="shared" si="3"/>
        <v>20</v>
      </c>
      <c r="BK6">
        <v>40</v>
      </c>
      <c r="BL6">
        <v>40</v>
      </c>
      <c r="BO6">
        <v>1</v>
      </c>
      <c r="BP6">
        <f t="shared" si="13"/>
        <v>275</v>
      </c>
      <c r="BQ6">
        <v>6</v>
      </c>
      <c r="BR6">
        <f t="shared" si="4"/>
        <v>1650</v>
      </c>
      <c r="BS6">
        <f t="shared" si="5"/>
        <v>48</v>
      </c>
      <c r="BT6">
        <f>BP6*BS6</f>
        <v>13200</v>
      </c>
      <c r="BU6">
        <f t="shared" si="14"/>
        <v>132000</v>
      </c>
      <c r="BV6" s="1">
        <v>140</v>
      </c>
      <c r="BW6" s="1">
        <v>300</v>
      </c>
      <c r="BX6" s="1">
        <v>80</v>
      </c>
      <c r="BY6" s="1">
        <v>30</v>
      </c>
      <c r="BZ6">
        <v>20</v>
      </c>
      <c r="CA6">
        <v>20</v>
      </c>
      <c r="CB6">
        <v>40</v>
      </c>
      <c r="CC6">
        <v>40</v>
      </c>
      <c r="CD6">
        <v>40</v>
      </c>
      <c r="CG6">
        <v>1</v>
      </c>
      <c r="CH6">
        <f t="shared" si="15"/>
        <v>550</v>
      </c>
      <c r="CI6">
        <v>6</v>
      </c>
      <c r="CJ6">
        <f t="shared" si="6"/>
        <v>3300</v>
      </c>
      <c r="CK6">
        <f t="shared" si="7"/>
        <v>48</v>
      </c>
      <c r="CL6">
        <f>CH6*CK6</f>
        <v>26400</v>
      </c>
      <c r="CM6">
        <f t="shared" si="16"/>
        <v>264000</v>
      </c>
      <c r="CN6">
        <f t="shared" si="8"/>
        <v>70</v>
      </c>
      <c r="CO6">
        <f t="shared" si="8"/>
        <v>150</v>
      </c>
      <c r="CP6">
        <f t="shared" si="8"/>
        <v>40</v>
      </c>
      <c r="CQ6">
        <f t="shared" si="8"/>
        <v>15</v>
      </c>
      <c r="CR6">
        <f t="shared" si="8"/>
        <v>15</v>
      </c>
      <c r="CS6">
        <f t="shared" si="8"/>
        <v>15</v>
      </c>
      <c r="CT6">
        <v>1</v>
      </c>
      <c r="CU6">
        <f t="shared" si="17"/>
        <v>275</v>
      </c>
      <c r="CV6">
        <v>6</v>
      </c>
      <c r="CW6">
        <f t="shared" si="9"/>
        <v>1650</v>
      </c>
      <c r="CX6">
        <f t="shared" si="10"/>
        <v>48</v>
      </c>
      <c r="CY6">
        <f>CU6*CX6</f>
        <v>13200</v>
      </c>
      <c r="CZ6">
        <f t="shared" si="18"/>
        <v>132000</v>
      </c>
    </row>
    <row r="7" spans="1:104" x14ac:dyDescent="0.25">
      <c r="A7">
        <f t="shared" si="11"/>
        <v>5280</v>
      </c>
      <c r="B7" t="s">
        <v>100</v>
      </c>
      <c r="C7" t="s">
        <v>101</v>
      </c>
      <c r="D7" t="s">
        <v>102</v>
      </c>
      <c r="E7" t="s">
        <v>103</v>
      </c>
      <c r="F7" t="s">
        <v>104</v>
      </c>
      <c r="G7" t="s">
        <v>105</v>
      </c>
      <c r="H7" t="s">
        <v>106</v>
      </c>
      <c r="I7">
        <v>91000</v>
      </c>
      <c r="J7" t="s">
        <v>107</v>
      </c>
      <c r="K7" t="s">
        <v>108</v>
      </c>
      <c r="L7" t="s">
        <v>109</v>
      </c>
      <c r="M7" t="s">
        <v>110</v>
      </c>
      <c r="N7" t="s">
        <v>90</v>
      </c>
      <c r="O7" t="s">
        <v>111</v>
      </c>
      <c r="P7" t="s">
        <v>75</v>
      </c>
      <c r="Q7">
        <v>1.75</v>
      </c>
      <c r="T7">
        <v>0</v>
      </c>
      <c r="U7" t="s">
        <v>76</v>
      </c>
      <c r="V7" t="s">
        <v>77</v>
      </c>
      <c r="W7" t="s">
        <v>78</v>
      </c>
      <c r="X7">
        <v>1</v>
      </c>
      <c r="Y7">
        <v>1</v>
      </c>
      <c r="AB7">
        <v>1</v>
      </c>
      <c r="AC7">
        <v>42439</v>
      </c>
      <c r="AG7">
        <v>1</v>
      </c>
      <c r="AH7" t="s">
        <v>79</v>
      </c>
      <c r="AI7" s="1">
        <v>30</v>
      </c>
      <c r="AJ7" s="1">
        <v>50</v>
      </c>
      <c r="AK7" s="1">
        <v>20</v>
      </c>
      <c r="AL7" s="1">
        <v>10</v>
      </c>
      <c r="AM7">
        <v>60</v>
      </c>
      <c r="AN7">
        <v>30</v>
      </c>
      <c r="AO7">
        <v>10</v>
      </c>
      <c r="AP7">
        <v>10</v>
      </c>
      <c r="AQ7">
        <v>10</v>
      </c>
      <c r="AT7">
        <v>10</v>
      </c>
      <c r="AU7">
        <v>10</v>
      </c>
      <c r="AV7">
        <v>10</v>
      </c>
      <c r="AW7">
        <v>1</v>
      </c>
      <c r="AX7">
        <f t="shared" si="0"/>
        <v>110</v>
      </c>
      <c r="AY7">
        <v>6</v>
      </c>
      <c r="AZ7">
        <f t="shared" si="1"/>
        <v>660</v>
      </c>
      <c r="BA7">
        <f t="shared" si="2"/>
        <v>48</v>
      </c>
      <c r="BB7">
        <f t="shared" ref="BB7:BB45" si="19">AX7*BA7</f>
        <v>5280</v>
      </c>
      <c r="BC7">
        <f t="shared" si="12"/>
        <v>52800</v>
      </c>
      <c r="BD7">
        <f t="shared" si="3"/>
        <v>15</v>
      </c>
      <c r="BE7">
        <f t="shared" si="3"/>
        <v>25</v>
      </c>
      <c r="BF7">
        <f t="shared" si="3"/>
        <v>10</v>
      </c>
      <c r="BG7">
        <f t="shared" si="3"/>
        <v>5</v>
      </c>
      <c r="BH7">
        <f t="shared" si="3"/>
        <v>30</v>
      </c>
      <c r="BI7">
        <f>MROUND(AN7/2,5)</f>
        <v>15</v>
      </c>
      <c r="BJ7">
        <f t="shared" si="3"/>
        <v>5</v>
      </c>
      <c r="BK7">
        <v>10</v>
      </c>
      <c r="BL7">
        <v>10</v>
      </c>
      <c r="BO7">
        <v>1</v>
      </c>
      <c r="BP7">
        <f t="shared" si="13"/>
        <v>55</v>
      </c>
      <c r="BQ7">
        <v>6</v>
      </c>
      <c r="BR7">
        <f t="shared" si="4"/>
        <v>330</v>
      </c>
      <c r="BS7">
        <f t="shared" si="5"/>
        <v>48</v>
      </c>
      <c r="BT7">
        <f t="shared" ref="BT7:BT45" si="20">BP7*BS7</f>
        <v>2640</v>
      </c>
      <c r="BU7">
        <f t="shared" si="14"/>
        <v>26400</v>
      </c>
      <c r="BV7" s="1">
        <v>30</v>
      </c>
      <c r="BW7" s="1">
        <v>50</v>
      </c>
      <c r="BX7" s="1">
        <v>20</v>
      </c>
      <c r="BY7" s="1">
        <v>10</v>
      </c>
      <c r="BZ7">
        <v>30</v>
      </c>
      <c r="CA7">
        <v>30</v>
      </c>
      <c r="CB7">
        <v>10</v>
      </c>
      <c r="CC7">
        <v>10</v>
      </c>
      <c r="CD7">
        <v>10</v>
      </c>
      <c r="CG7">
        <v>1</v>
      </c>
      <c r="CH7">
        <f t="shared" si="15"/>
        <v>110</v>
      </c>
      <c r="CI7">
        <v>6</v>
      </c>
      <c r="CJ7">
        <f t="shared" si="6"/>
        <v>660</v>
      </c>
      <c r="CK7">
        <f t="shared" si="7"/>
        <v>48</v>
      </c>
      <c r="CL7">
        <f t="shared" ref="CL7:CL45" si="21">CH7*CK7</f>
        <v>5280</v>
      </c>
      <c r="CM7">
        <f t="shared" si="16"/>
        <v>52800</v>
      </c>
      <c r="CN7">
        <f t="shared" si="8"/>
        <v>15</v>
      </c>
      <c r="CO7">
        <f t="shared" si="8"/>
        <v>25</v>
      </c>
      <c r="CP7">
        <f t="shared" si="8"/>
        <v>10</v>
      </c>
      <c r="CQ7">
        <f t="shared" si="8"/>
        <v>5</v>
      </c>
      <c r="CR7">
        <f t="shared" si="8"/>
        <v>30</v>
      </c>
      <c r="CS7">
        <f t="shared" si="8"/>
        <v>15</v>
      </c>
      <c r="CT7">
        <v>1</v>
      </c>
      <c r="CU7">
        <f t="shared" si="17"/>
        <v>55</v>
      </c>
      <c r="CV7">
        <v>6</v>
      </c>
      <c r="CW7">
        <f t="shared" si="9"/>
        <v>330</v>
      </c>
      <c r="CX7">
        <f t="shared" si="10"/>
        <v>48</v>
      </c>
      <c r="CY7">
        <f t="shared" ref="CY7:CY45" si="22">CU7*CX7</f>
        <v>2640</v>
      </c>
      <c r="CZ7">
        <f t="shared" si="18"/>
        <v>26400</v>
      </c>
    </row>
    <row r="8" spans="1:104" x14ac:dyDescent="0.25">
      <c r="A8">
        <f t="shared" si="11"/>
        <v>10560</v>
      </c>
      <c r="B8" t="s">
        <v>112</v>
      </c>
      <c r="C8" t="s">
        <v>113</v>
      </c>
      <c r="D8" t="s">
        <v>114</v>
      </c>
      <c r="E8" t="s">
        <v>115</v>
      </c>
      <c r="F8" t="s">
        <v>116</v>
      </c>
      <c r="G8" t="s">
        <v>117</v>
      </c>
      <c r="H8" t="s">
        <v>118</v>
      </c>
      <c r="I8">
        <v>43300</v>
      </c>
      <c r="J8" t="s">
        <v>107</v>
      </c>
      <c r="K8" t="s">
        <v>119</v>
      </c>
      <c r="L8" t="s">
        <v>120</v>
      </c>
      <c r="M8" t="s">
        <v>121</v>
      </c>
      <c r="N8" t="s">
        <v>90</v>
      </c>
      <c r="O8" t="s">
        <v>74</v>
      </c>
      <c r="P8" t="s">
        <v>75</v>
      </c>
      <c r="Q8">
        <v>1.75</v>
      </c>
      <c r="R8" t="s">
        <v>122</v>
      </c>
      <c r="T8">
        <v>0</v>
      </c>
      <c r="U8" t="s">
        <v>76</v>
      </c>
      <c r="V8" t="s">
        <v>77</v>
      </c>
      <c r="W8" t="s">
        <v>78</v>
      </c>
      <c r="X8">
        <v>1</v>
      </c>
      <c r="Y8">
        <v>1</v>
      </c>
      <c r="AB8">
        <v>1</v>
      </c>
      <c r="AC8">
        <v>42439</v>
      </c>
      <c r="AG8">
        <v>1</v>
      </c>
      <c r="AH8" t="s">
        <v>79</v>
      </c>
      <c r="AI8" s="1">
        <v>40</v>
      </c>
      <c r="AJ8" s="1">
        <v>120</v>
      </c>
      <c r="AK8" s="1">
        <v>40</v>
      </c>
      <c r="AL8" s="1">
        <v>20</v>
      </c>
      <c r="AM8">
        <v>60</v>
      </c>
      <c r="AN8">
        <v>30</v>
      </c>
      <c r="AO8">
        <v>20</v>
      </c>
      <c r="AP8">
        <v>20</v>
      </c>
      <c r="AQ8">
        <v>20</v>
      </c>
      <c r="AT8">
        <v>20</v>
      </c>
      <c r="AU8">
        <v>20</v>
      </c>
      <c r="AV8">
        <v>20</v>
      </c>
      <c r="AW8">
        <v>1</v>
      </c>
      <c r="AX8">
        <f t="shared" si="0"/>
        <v>220</v>
      </c>
      <c r="AY8">
        <v>6</v>
      </c>
      <c r="AZ8">
        <f t="shared" si="1"/>
        <v>1320</v>
      </c>
      <c r="BA8">
        <f t="shared" si="2"/>
        <v>48</v>
      </c>
      <c r="BB8">
        <f t="shared" si="19"/>
        <v>10560</v>
      </c>
      <c r="BC8">
        <f t="shared" si="12"/>
        <v>105600</v>
      </c>
      <c r="BD8">
        <f t="shared" si="3"/>
        <v>20</v>
      </c>
      <c r="BE8">
        <f t="shared" si="3"/>
        <v>60</v>
      </c>
      <c r="BF8">
        <f t="shared" si="3"/>
        <v>20</v>
      </c>
      <c r="BG8">
        <f t="shared" si="3"/>
        <v>10</v>
      </c>
      <c r="BH8">
        <f t="shared" si="3"/>
        <v>30</v>
      </c>
      <c r="BI8">
        <f t="shared" si="3"/>
        <v>15</v>
      </c>
      <c r="BJ8">
        <f t="shared" si="3"/>
        <v>10</v>
      </c>
      <c r="BK8">
        <v>20</v>
      </c>
      <c r="BL8">
        <v>20</v>
      </c>
      <c r="BO8">
        <v>1</v>
      </c>
      <c r="BP8">
        <f t="shared" si="13"/>
        <v>110</v>
      </c>
      <c r="BQ8">
        <v>6</v>
      </c>
      <c r="BR8">
        <f t="shared" si="4"/>
        <v>660</v>
      </c>
      <c r="BS8">
        <f t="shared" si="5"/>
        <v>48</v>
      </c>
      <c r="BT8">
        <f t="shared" si="20"/>
        <v>5280</v>
      </c>
      <c r="BU8">
        <f t="shared" si="14"/>
        <v>52800</v>
      </c>
      <c r="BV8" s="1">
        <v>40</v>
      </c>
      <c r="BW8" s="1">
        <v>120</v>
      </c>
      <c r="BX8" s="1">
        <v>40</v>
      </c>
      <c r="BY8" s="1">
        <v>20</v>
      </c>
      <c r="BZ8">
        <v>30</v>
      </c>
      <c r="CA8">
        <v>30</v>
      </c>
      <c r="CB8">
        <v>20</v>
      </c>
      <c r="CC8">
        <v>20</v>
      </c>
      <c r="CD8">
        <v>20</v>
      </c>
      <c r="CG8">
        <v>1</v>
      </c>
      <c r="CH8">
        <f t="shared" si="15"/>
        <v>220</v>
      </c>
      <c r="CI8">
        <v>6</v>
      </c>
      <c r="CJ8">
        <f t="shared" si="6"/>
        <v>1320</v>
      </c>
      <c r="CK8">
        <f t="shared" si="7"/>
        <v>48</v>
      </c>
      <c r="CL8">
        <f t="shared" si="21"/>
        <v>10560</v>
      </c>
      <c r="CM8">
        <f t="shared" si="16"/>
        <v>105600</v>
      </c>
      <c r="CN8">
        <f t="shared" si="8"/>
        <v>20</v>
      </c>
      <c r="CO8">
        <f t="shared" si="8"/>
        <v>60</v>
      </c>
      <c r="CP8">
        <f t="shared" si="8"/>
        <v>20</v>
      </c>
      <c r="CQ8">
        <f t="shared" si="8"/>
        <v>10</v>
      </c>
      <c r="CR8">
        <f t="shared" si="8"/>
        <v>30</v>
      </c>
      <c r="CS8">
        <f t="shared" si="8"/>
        <v>15</v>
      </c>
      <c r="CT8">
        <v>1</v>
      </c>
      <c r="CU8">
        <f t="shared" si="17"/>
        <v>110</v>
      </c>
      <c r="CV8">
        <v>6</v>
      </c>
      <c r="CW8">
        <f t="shared" si="9"/>
        <v>660</v>
      </c>
      <c r="CX8">
        <f t="shared" si="10"/>
        <v>48</v>
      </c>
      <c r="CY8">
        <f t="shared" si="22"/>
        <v>5280</v>
      </c>
      <c r="CZ8">
        <f t="shared" si="18"/>
        <v>52800</v>
      </c>
    </row>
    <row r="9" spans="1:104" x14ac:dyDescent="0.25">
      <c r="A9">
        <f t="shared" si="11"/>
        <v>4800</v>
      </c>
      <c r="B9" t="s">
        <v>123</v>
      </c>
      <c r="C9" t="s">
        <v>124</v>
      </c>
      <c r="D9" t="s">
        <v>125</v>
      </c>
      <c r="E9" t="s">
        <v>126</v>
      </c>
      <c r="F9" t="s">
        <v>127</v>
      </c>
      <c r="G9" t="s">
        <v>128</v>
      </c>
      <c r="H9" t="s">
        <v>129</v>
      </c>
      <c r="I9">
        <v>88200</v>
      </c>
      <c r="J9" t="s">
        <v>107</v>
      </c>
      <c r="K9" t="s">
        <v>130</v>
      </c>
      <c r="L9" t="s">
        <v>131</v>
      </c>
      <c r="M9" t="s">
        <v>132</v>
      </c>
      <c r="N9" t="s">
        <v>90</v>
      </c>
      <c r="O9" t="s">
        <v>74</v>
      </c>
      <c r="P9" t="s">
        <v>75</v>
      </c>
      <c r="Q9">
        <v>1.75</v>
      </c>
      <c r="T9">
        <v>0</v>
      </c>
      <c r="U9" t="s">
        <v>76</v>
      </c>
      <c r="V9" t="s">
        <v>77</v>
      </c>
      <c r="W9" t="s">
        <v>78</v>
      </c>
      <c r="X9">
        <v>1</v>
      </c>
      <c r="Y9">
        <v>1</v>
      </c>
      <c r="AB9">
        <v>1</v>
      </c>
      <c r="AC9">
        <v>42439</v>
      </c>
      <c r="AG9">
        <v>1</v>
      </c>
      <c r="AH9" t="s">
        <v>79</v>
      </c>
      <c r="AI9" s="1">
        <v>20</v>
      </c>
      <c r="AJ9" s="1">
        <v>50</v>
      </c>
      <c r="AK9" s="1">
        <v>20</v>
      </c>
      <c r="AL9" s="1">
        <v>10</v>
      </c>
      <c r="AM9">
        <v>40</v>
      </c>
      <c r="AN9">
        <v>20</v>
      </c>
      <c r="AO9">
        <v>20</v>
      </c>
      <c r="AP9">
        <v>20</v>
      </c>
      <c r="AQ9">
        <v>20</v>
      </c>
      <c r="AT9">
        <v>20</v>
      </c>
      <c r="AU9">
        <v>20</v>
      </c>
      <c r="AV9">
        <v>20</v>
      </c>
      <c r="AW9">
        <v>1</v>
      </c>
      <c r="AX9">
        <f t="shared" si="0"/>
        <v>100</v>
      </c>
      <c r="AY9">
        <v>6</v>
      </c>
      <c r="AZ9">
        <f t="shared" si="1"/>
        <v>600</v>
      </c>
      <c r="BA9">
        <f t="shared" si="2"/>
        <v>48</v>
      </c>
      <c r="BB9">
        <f t="shared" si="19"/>
        <v>4800</v>
      </c>
      <c r="BC9">
        <f t="shared" si="12"/>
        <v>48000</v>
      </c>
      <c r="BD9">
        <f t="shared" si="3"/>
        <v>10</v>
      </c>
      <c r="BE9">
        <f t="shared" si="3"/>
        <v>25</v>
      </c>
      <c r="BF9">
        <f t="shared" si="3"/>
        <v>10</v>
      </c>
      <c r="BG9">
        <f t="shared" si="3"/>
        <v>5</v>
      </c>
      <c r="BH9">
        <f t="shared" si="3"/>
        <v>20</v>
      </c>
      <c r="BI9">
        <f t="shared" si="3"/>
        <v>10</v>
      </c>
      <c r="BJ9">
        <f t="shared" si="3"/>
        <v>10</v>
      </c>
      <c r="BK9">
        <v>20</v>
      </c>
      <c r="BL9">
        <v>20</v>
      </c>
      <c r="BO9">
        <v>1</v>
      </c>
      <c r="BP9">
        <f t="shared" si="13"/>
        <v>50</v>
      </c>
      <c r="BQ9">
        <v>6</v>
      </c>
      <c r="BR9">
        <f t="shared" si="4"/>
        <v>300</v>
      </c>
      <c r="BS9">
        <f t="shared" si="5"/>
        <v>48</v>
      </c>
      <c r="BT9">
        <f t="shared" si="20"/>
        <v>2400</v>
      </c>
      <c r="BU9">
        <f t="shared" si="14"/>
        <v>24000</v>
      </c>
      <c r="BV9" s="1">
        <v>20</v>
      </c>
      <c r="BW9" s="1">
        <v>50</v>
      </c>
      <c r="BX9" s="1">
        <v>20</v>
      </c>
      <c r="BY9" s="1">
        <v>10</v>
      </c>
      <c r="BZ9">
        <v>40</v>
      </c>
      <c r="CA9">
        <v>20</v>
      </c>
      <c r="CB9">
        <v>20</v>
      </c>
      <c r="CC9">
        <v>20</v>
      </c>
      <c r="CD9">
        <v>20</v>
      </c>
      <c r="CG9">
        <v>1</v>
      </c>
      <c r="CH9">
        <f t="shared" si="15"/>
        <v>100</v>
      </c>
      <c r="CI9">
        <v>6</v>
      </c>
      <c r="CJ9">
        <f t="shared" si="6"/>
        <v>600</v>
      </c>
      <c r="CK9">
        <f t="shared" si="7"/>
        <v>48</v>
      </c>
      <c r="CL9">
        <f t="shared" si="21"/>
        <v>4800</v>
      </c>
      <c r="CM9">
        <f t="shared" si="16"/>
        <v>48000</v>
      </c>
      <c r="CN9">
        <f t="shared" si="8"/>
        <v>10</v>
      </c>
      <c r="CO9">
        <f t="shared" si="8"/>
        <v>25</v>
      </c>
      <c r="CP9">
        <f t="shared" si="8"/>
        <v>10</v>
      </c>
      <c r="CQ9">
        <f t="shared" si="8"/>
        <v>5</v>
      </c>
      <c r="CR9">
        <f t="shared" si="8"/>
        <v>20</v>
      </c>
      <c r="CS9">
        <f t="shared" si="8"/>
        <v>10</v>
      </c>
      <c r="CT9">
        <v>1</v>
      </c>
      <c r="CU9">
        <f t="shared" si="17"/>
        <v>50</v>
      </c>
      <c r="CV9">
        <v>6</v>
      </c>
      <c r="CW9">
        <f t="shared" si="9"/>
        <v>300</v>
      </c>
      <c r="CX9">
        <f t="shared" si="10"/>
        <v>48</v>
      </c>
      <c r="CY9">
        <f t="shared" si="22"/>
        <v>2400</v>
      </c>
      <c r="CZ9">
        <f t="shared" si="18"/>
        <v>24000</v>
      </c>
    </row>
    <row r="10" spans="1:104" x14ac:dyDescent="0.25">
      <c r="A10">
        <f t="shared" si="11"/>
        <v>3840</v>
      </c>
      <c r="B10" t="s">
        <v>133</v>
      </c>
      <c r="C10" t="s">
        <v>134</v>
      </c>
      <c r="D10" t="s">
        <v>135</v>
      </c>
      <c r="E10" t="s">
        <v>136</v>
      </c>
      <c r="F10" t="s">
        <v>137</v>
      </c>
      <c r="G10" t="s">
        <v>138</v>
      </c>
      <c r="H10" t="s">
        <v>139</v>
      </c>
      <c r="I10" t="s">
        <v>140</v>
      </c>
      <c r="J10" t="s">
        <v>141</v>
      </c>
      <c r="K10" t="s">
        <v>142</v>
      </c>
      <c r="L10" t="s">
        <v>143</v>
      </c>
      <c r="M10" t="s">
        <v>144</v>
      </c>
      <c r="N10" t="s">
        <v>90</v>
      </c>
      <c r="O10" t="s">
        <v>145</v>
      </c>
      <c r="P10" t="s">
        <v>146</v>
      </c>
      <c r="Q10">
        <v>4</v>
      </c>
      <c r="R10" t="s">
        <v>147</v>
      </c>
      <c r="T10">
        <v>0</v>
      </c>
      <c r="U10" t="s">
        <v>76</v>
      </c>
      <c r="V10" t="s">
        <v>148</v>
      </c>
      <c r="W10" t="s">
        <v>133</v>
      </c>
      <c r="X10">
        <v>1</v>
      </c>
      <c r="Y10">
        <v>1</v>
      </c>
      <c r="AB10">
        <v>1</v>
      </c>
      <c r="AC10">
        <v>42439</v>
      </c>
      <c r="AG10">
        <v>1</v>
      </c>
      <c r="AH10" t="s">
        <v>149</v>
      </c>
      <c r="AI10" s="1">
        <v>20</v>
      </c>
      <c r="AJ10" s="1">
        <v>30</v>
      </c>
      <c r="AK10" s="1">
        <v>20</v>
      </c>
      <c r="AL10" s="1">
        <v>10</v>
      </c>
      <c r="AM10">
        <v>40</v>
      </c>
      <c r="AN10">
        <v>30</v>
      </c>
      <c r="AO10">
        <v>10</v>
      </c>
      <c r="AP10">
        <v>10</v>
      </c>
      <c r="AQ10">
        <v>10</v>
      </c>
      <c r="AT10">
        <v>10</v>
      </c>
      <c r="AU10">
        <v>10</v>
      </c>
      <c r="AV10">
        <v>10</v>
      </c>
      <c r="AW10">
        <v>1</v>
      </c>
      <c r="AX10">
        <f t="shared" si="0"/>
        <v>80</v>
      </c>
      <c r="AY10">
        <v>6</v>
      </c>
      <c r="AZ10">
        <f t="shared" si="1"/>
        <v>480</v>
      </c>
      <c r="BA10">
        <f t="shared" si="2"/>
        <v>48</v>
      </c>
      <c r="BB10">
        <f t="shared" si="19"/>
        <v>3840</v>
      </c>
      <c r="BC10">
        <f t="shared" si="12"/>
        <v>38400</v>
      </c>
      <c r="BD10">
        <f t="shared" si="3"/>
        <v>10</v>
      </c>
      <c r="BE10">
        <f t="shared" si="3"/>
        <v>15</v>
      </c>
      <c r="BF10">
        <f t="shared" si="3"/>
        <v>10</v>
      </c>
      <c r="BG10">
        <f t="shared" si="3"/>
        <v>5</v>
      </c>
      <c r="BH10">
        <f t="shared" si="3"/>
        <v>20</v>
      </c>
      <c r="BI10">
        <f t="shared" si="3"/>
        <v>15</v>
      </c>
      <c r="BJ10">
        <f t="shared" si="3"/>
        <v>5</v>
      </c>
      <c r="BK10">
        <v>10</v>
      </c>
      <c r="BL10">
        <v>10</v>
      </c>
      <c r="BO10">
        <v>1</v>
      </c>
      <c r="BP10">
        <f t="shared" si="13"/>
        <v>40</v>
      </c>
      <c r="BQ10">
        <v>6</v>
      </c>
      <c r="BR10">
        <f t="shared" si="4"/>
        <v>240</v>
      </c>
      <c r="BS10">
        <f t="shared" si="5"/>
        <v>48</v>
      </c>
      <c r="BT10">
        <f t="shared" si="20"/>
        <v>1920</v>
      </c>
      <c r="BU10">
        <f t="shared" si="14"/>
        <v>19200</v>
      </c>
      <c r="BV10" s="1">
        <v>20</v>
      </c>
      <c r="BW10" s="1">
        <v>50</v>
      </c>
      <c r="BX10" s="1">
        <v>25</v>
      </c>
      <c r="BY10" s="1">
        <v>10</v>
      </c>
      <c r="BZ10">
        <v>20</v>
      </c>
      <c r="CA10">
        <v>20</v>
      </c>
      <c r="CB10">
        <v>10</v>
      </c>
      <c r="CC10">
        <v>10</v>
      </c>
      <c r="CD10">
        <v>10</v>
      </c>
      <c r="CG10">
        <v>1</v>
      </c>
      <c r="CH10">
        <f t="shared" si="15"/>
        <v>105</v>
      </c>
      <c r="CI10">
        <v>6</v>
      </c>
      <c r="CJ10">
        <f t="shared" ref="CJ10:CJ45" si="23">CA10*CI10</f>
        <v>120</v>
      </c>
      <c r="CK10">
        <f t="shared" si="7"/>
        <v>48</v>
      </c>
      <c r="CL10">
        <f t="shared" si="21"/>
        <v>5040</v>
      </c>
      <c r="CM10">
        <f t="shared" si="16"/>
        <v>50400</v>
      </c>
      <c r="CN10">
        <f t="shared" si="8"/>
        <v>10</v>
      </c>
      <c r="CO10">
        <f t="shared" si="8"/>
        <v>15</v>
      </c>
      <c r="CP10">
        <f t="shared" si="8"/>
        <v>10</v>
      </c>
      <c r="CQ10">
        <f t="shared" si="8"/>
        <v>5</v>
      </c>
      <c r="CR10">
        <f t="shared" si="8"/>
        <v>20</v>
      </c>
      <c r="CS10">
        <f t="shared" si="8"/>
        <v>15</v>
      </c>
      <c r="CT10">
        <v>1</v>
      </c>
      <c r="CU10">
        <f t="shared" si="17"/>
        <v>40</v>
      </c>
      <c r="CV10">
        <v>6</v>
      </c>
      <c r="CW10">
        <f t="shared" ref="CW10:CW45" si="24">CS10*CV10</f>
        <v>90</v>
      </c>
      <c r="CX10">
        <f t="shared" si="10"/>
        <v>48</v>
      </c>
      <c r="CY10">
        <f t="shared" si="22"/>
        <v>1920</v>
      </c>
      <c r="CZ10">
        <f t="shared" si="18"/>
        <v>19200</v>
      </c>
    </row>
    <row r="11" spans="1:104" x14ac:dyDescent="0.25">
      <c r="A11">
        <f t="shared" si="11"/>
        <v>10560</v>
      </c>
      <c r="B11" t="s">
        <v>150</v>
      </c>
      <c r="C11" t="s">
        <v>151</v>
      </c>
      <c r="D11" t="s">
        <v>152</v>
      </c>
      <c r="E11" t="s">
        <v>153</v>
      </c>
      <c r="F11" t="s">
        <v>154</v>
      </c>
      <c r="G11" t="s">
        <v>96</v>
      </c>
      <c r="H11" t="s">
        <v>96</v>
      </c>
      <c r="I11">
        <v>60000</v>
      </c>
      <c r="J11" t="s">
        <v>69</v>
      </c>
      <c r="K11" t="s">
        <v>155</v>
      </c>
      <c r="L11" t="s">
        <v>156</v>
      </c>
      <c r="M11" t="s">
        <v>157</v>
      </c>
      <c r="N11" t="s">
        <v>90</v>
      </c>
      <c r="O11" t="s">
        <v>74</v>
      </c>
      <c r="P11" t="s">
        <v>75</v>
      </c>
      <c r="Q11">
        <v>1.75</v>
      </c>
      <c r="T11">
        <v>0</v>
      </c>
      <c r="U11" t="s">
        <v>76</v>
      </c>
      <c r="V11" t="s">
        <v>77</v>
      </c>
      <c r="W11" t="s">
        <v>78</v>
      </c>
      <c r="X11">
        <v>1</v>
      </c>
      <c r="Y11">
        <v>1</v>
      </c>
      <c r="AB11">
        <v>1</v>
      </c>
      <c r="AC11">
        <v>42439</v>
      </c>
      <c r="AD11" t="s">
        <v>158</v>
      </c>
      <c r="AG11">
        <v>1</v>
      </c>
      <c r="AH11" t="s">
        <v>79</v>
      </c>
      <c r="AI11" s="1">
        <v>40</v>
      </c>
      <c r="AJ11" s="1">
        <v>130</v>
      </c>
      <c r="AK11" s="1">
        <v>40</v>
      </c>
      <c r="AL11" s="1">
        <v>10</v>
      </c>
      <c r="AM11">
        <v>100</v>
      </c>
      <c r="AN11">
        <v>50</v>
      </c>
      <c r="AO11">
        <v>30</v>
      </c>
      <c r="AP11">
        <v>30</v>
      </c>
      <c r="AQ11">
        <v>30</v>
      </c>
      <c r="AT11">
        <v>30</v>
      </c>
      <c r="AU11">
        <v>30</v>
      </c>
      <c r="AV11">
        <v>30</v>
      </c>
      <c r="AW11">
        <v>1</v>
      </c>
      <c r="AX11">
        <f t="shared" si="0"/>
        <v>220</v>
      </c>
      <c r="AY11">
        <v>6</v>
      </c>
      <c r="AZ11">
        <f t="shared" si="1"/>
        <v>1320</v>
      </c>
      <c r="BA11">
        <f t="shared" si="2"/>
        <v>48</v>
      </c>
      <c r="BB11">
        <f t="shared" si="19"/>
        <v>10560</v>
      </c>
      <c r="BC11">
        <f t="shared" si="12"/>
        <v>105600</v>
      </c>
      <c r="BD11">
        <f t="shared" si="3"/>
        <v>20</v>
      </c>
      <c r="BE11">
        <f t="shared" si="3"/>
        <v>65</v>
      </c>
      <c r="BF11">
        <f t="shared" si="3"/>
        <v>20</v>
      </c>
      <c r="BG11">
        <f t="shared" si="3"/>
        <v>5</v>
      </c>
      <c r="BH11">
        <f t="shared" si="3"/>
        <v>50</v>
      </c>
      <c r="BI11">
        <f t="shared" si="3"/>
        <v>25</v>
      </c>
      <c r="BJ11">
        <f t="shared" si="3"/>
        <v>15</v>
      </c>
      <c r="BK11">
        <v>30</v>
      </c>
      <c r="BL11">
        <v>30</v>
      </c>
      <c r="BO11">
        <v>1</v>
      </c>
      <c r="BP11">
        <f t="shared" si="13"/>
        <v>110</v>
      </c>
      <c r="BQ11">
        <v>6</v>
      </c>
      <c r="BR11">
        <f t="shared" si="4"/>
        <v>660</v>
      </c>
      <c r="BS11">
        <f t="shared" si="5"/>
        <v>48</v>
      </c>
      <c r="BT11">
        <f t="shared" si="20"/>
        <v>5280</v>
      </c>
      <c r="BU11">
        <f t="shared" si="14"/>
        <v>52800</v>
      </c>
      <c r="BV11" s="1">
        <v>40</v>
      </c>
      <c r="BW11" s="1">
        <v>130</v>
      </c>
      <c r="BX11" s="1">
        <v>40</v>
      </c>
      <c r="BY11" s="1">
        <v>10</v>
      </c>
      <c r="BZ11">
        <v>50</v>
      </c>
      <c r="CA11">
        <v>50</v>
      </c>
      <c r="CB11">
        <v>30</v>
      </c>
      <c r="CC11">
        <v>30</v>
      </c>
      <c r="CD11">
        <v>30</v>
      </c>
      <c r="CG11">
        <v>1</v>
      </c>
      <c r="CH11">
        <f t="shared" si="15"/>
        <v>220</v>
      </c>
      <c r="CI11">
        <v>6</v>
      </c>
      <c r="CJ11">
        <f t="shared" si="23"/>
        <v>300</v>
      </c>
      <c r="CK11">
        <f t="shared" si="7"/>
        <v>48</v>
      </c>
      <c r="CL11">
        <f t="shared" si="21"/>
        <v>10560</v>
      </c>
      <c r="CM11">
        <f t="shared" si="16"/>
        <v>105600</v>
      </c>
      <c r="CN11">
        <f t="shared" si="8"/>
        <v>20</v>
      </c>
      <c r="CO11">
        <f t="shared" si="8"/>
        <v>65</v>
      </c>
      <c r="CP11">
        <f t="shared" si="8"/>
        <v>20</v>
      </c>
      <c r="CQ11">
        <f t="shared" si="8"/>
        <v>5</v>
      </c>
      <c r="CR11">
        <f t="shared" si="8"/>
        <v>50</v>
      </c>
      <c r="CS11">
        <f t="shared" si="8"/>
        <v>25</v>
      </c>
      <c r="CT11">
        <v>1</v>
      </c>
      <c r="CU11">
        <f t="shared" si="17"/>
        <v>110</v>
      </c>
      <c r="CV11">
        <v>6</v>
      </c>
      <c r="CW11">
        <f t="shared" si="24"/>
        <v>150</v>
      </c>
      <c r="CX11">
        <f t="shared" si="10"/>
        <v>48</v>
      </c>
      <c r="CY11">
        <f t="shared" si="22"/>
        <v>5280</v>
      </c>
      <c r="CZ11">
        <f t="shared" si="18"/>
        <v>52800</v>
      </c>
    </row>
    <row r="12" spans="1:104" x14ac:dyDescent="0.25">
      <c r="A12">
        <f t="shared" si="11"/>
        <v>5760</v>
      </c>
      <c r="B12" t="s">
        <v>159</v>
      </c>
      <c r="C12" t="s">
        <v>160</v>
      </c>
      <c r="D12" t="s">
        <v>161</v>
      </c>
      <c r="E12" t="s">
        <v>162</v>
      </c>
      <c r="F12" t="s">
        <v>163</v>
      </c>
      <c r="G12" t="s">
        <v>164</v>
      </c>
      <c r="H12" t="s">
        <v>86</v>
      </c>
      <c r="I12">
        <v>40000</v>
      </c>
      <c r="J12" t="s">
        <v>107</v>
      </c>
      <c r="K12" t="s">
        <v>165</v>
      </c>
      <c r="L12" t="s">
        <v>166</v>
      </c>
      <c r="M12" t="s">
        <v>167</v>
      </c>
      <c r="N12" t="s">
        <v>90</v>
      </c>
      <c r="O12" t="s">
        <v>111</v>
      </c>
      <c r="P12" t="s">
        <v>75</v>
      </c>
      <c r="Q12">
        <v>1.75</v>
      </c>
      <c r="T12">
        <v>0</v>
      </c>
      <c r="U12" t="s">
        <v>76</v>
      </c>
      <c r="V12" t="s">
        <v>77</v>
      </c>
      <c r="W12" t="s">
        <v>78</v>
      </c>
      <c r="X12">
        <v>1</v>
      </c>
      <c r="Y12">
        <v>1</v>
      </c>
      <c r="AB12">
        <v>1</v>
      </c>
      <c r="AC12">
        <v>42439</v>
      </c>
      <c r="AG12">
        <v>1</v>
      </c>
      <c r="AH12" t="s">
        <v>79</v>
      </c>
      <c r="AI12" s="1">
        <v>20</v>
      </c>
      <c r="AJ12" s="1">
        <v>70</v>
      </c>
      <c r="AK12" s="1">
        <v>20</v>
      </c>
      <c r="AL12" s="1">
        <v>10</v>
      </c>
      <c r="AM12">
        <v>30</v>
      </c>
      <c r="AN12">
        <v>20</v>
      </c>
      <c r="AO12">
        <v>10</v>
      </c>
      <c r="AP12">
        <v>10</v>
      </c>
      <c r="AQ12">
        <v>10</v>
      </c>
      <c r="AT12">
        <v>10</v>
      </c>
      <c r="AU12">
        <v>10</v>
      </c>
      <c r="AV12">
        <v>10</v>
      </c>
      <c r="AW12">
        <v>1</v>
      </c>
      <c r="AX12">
        <f t="shared" si="0"/>
        <v>120</v>
      </c>
      <c r="AY12">
        <v>6</v>
      </c>
      <c r="AZ12">
        <f t="shared" si="1"/>
        <v>720</v>
      </c>
      <c r="BA12">
        <f t="shared" si="2"/>
        <v>48</v>
      </c>
      <c r="BB12">
        <f t="shared" si="19"/>
        <v>5760</v>
      </c>
      <c r="BC12">
        <f t="shared" si="12"/>
        <v>57600</v>
      </c>
      <c r="BD12">
        <f t="shared" si="3"/>
        <v>10</v>
      </c>
      <c r="BE12">
        <f t="shared" si="3"/>
        <v>35</v>
      </c>
      <c r="BF12">
        <f t="shared" si="3"/>
        <v>10</v>
      </c>
      <c r="BG12">
        <f t="shared" si="3"/>
        <v>5</v>
      </c>
      <c r="BH12">
        <f t="shared" si="3"/>
        <v>15</v>
      </c>
      <c r="BI12">
        <f t="shared" si="3"/>
        <v>10</v>
      </c>
      <c r="BJ12">
        <f t="shared" si="3"/>
        <v>5</v>
      </c>
      <c r="BK12">
        <v>10</v>
      </c>
      <c r="BL12">
        <v>10</v>
      </c>
      <c r="BO12">
        <v>1</v>
      </c>
      <c r="BP12">
        <f t="shared" si="13"/>
        <v>60</v>
      </c>
      <c r="BQ12">
        <v>6</v>
      </c>
      <c r="BR12">
        <f t="shared" si="4"/>
        <v>360</v>
      </c>
      <c r="BS12">
        <f t="shared" si="5"/>
        <v>48</v>
      </c>
      <c r="BT12">
        <f t="shared" si="20"/>
        <v>2880</v>
      </c>
      <c r="BU12">
        <f t="shared" si="14"/>
        <v>28800</v>
      </c>
      <c r="BV12" s="1">
        <v>20</v>
      </c>
      <c r="BW12" s="1">
        <v>70</v>
      </c>
      <c r="BX12" s="1">
        <v>20</v>
      </c>
      <c r="BY12" s="1">
        <v>10</v>
      </c>
      <c r="BZ12">
        <v>30</v>
      </c>
      <c r="CA12">
        <v>20</v>
      </c>
      <c r="CB12">
        <v>10</v>
      </c>
      <c r="CC12">
        <v>10</v>
      </c>
      <c r="CD12">
        <v>10</v>
      </c>
      <c r="CG12">
        <v>1</v>
      </c>
      <c r="CH12">
        <f t="shared" si="15"/>
        <v>120</v>
      </c>
      <c r="CI12">
        <v>6</v>
      </c>
      <c r="CJ12">
        <f t="shared" si="23"/>
        <v>120</v>
      </c>
      <c r="CK12">
        <f t="shared" si="7"/>
        <v>48</v>
      </c>
      <c r="CL12">
        <f t="shared" si="21"/>
        <v>5760</v>
      </c>
      <c r="CM12">
        <f t="shared" si="16"/>
        <v>57600</v>
      </c>
      <c r="CN12">
        <f t="shared" si="8"/>
        <v>10</v>
      </c>
      <c r="CO12">
        <f t="shared" si="8"/>
        <v>35</v>
      </c>
      <c r="CP12">
        <f t="shared" si="8"/>
        <v>10</v>
      </c>
      <c r="CQ12">
        <f t="shared" si="8"/>
        <v>5</v>
      </c>
      <c r="CR12">
        <f t="shared" si="8"/>
        <v>15</v>
      </c>
      <c r="CS12">
        <f t="shared" si="8"/>
        <v>10</v>
      </c>
      <c r="CT12">
        <v>1</v>
      </c>
      <c r="CU12">
        <f t="shared" si="17"/>
        <v>60</v>
      </c>
      <c r="CV12">
        <v>6</v>
      </c>
      <c r="CW12">
        <f t="shared" si="24"/>
        <v>60</v>
      </c>
      <c r="CX12">
        <f t="shared" si="10"/>
        <v>48</v>
      </c>
      <c r="CY12">
        <f t="shared" si="22"/>
        <v>2880</v>
      </c>
      <c r="CZ12">
        <f t="shared" si="18"/>
        <v>28800</v>
      </c>
    </row>
    <row r="13" spans="1:104" x14ac:dyDescent="0.25">
      <c r="A13">
        <f t="shared" si="11"/>
        <v>9600</v>
      </c>
      <c r="B13" t="s">
        <v>168</v>
      </c>
      <c r="C13" t="s">
        <v>169</v>
      </c>
      <c r="D13" t="s">
        <v>170</v>
      </c>
      <c r="E13" t="s">
        <v>171</v>
      </c>
      <c r="F13" t="s">
        <v>172</v>
      </c>
      <c r="G13" t="s">
        <v>173</v>
      </c>
      <c r="H13" t="s">
        <v>96</v>
      </c>
      <c r="I13">
        <v>53100</v>
      </c>
      <c r="J13" t="s">
        <v>107</v>
      </c>
      <c r="K13" t="s">
        <v>174</v>
      </c>
      <c r="L13" t="s">
        <v>175</v>
      </c>
      <c r="M13" t="s">
        <v>176</v>
      </c>
      <c r="N13" t="s">
        <v>90</v>
      </c>
      <c r="O13" t="s">
        <v>74</v>
      </c>
      <c r="P13" t="s">
        <v>75</v>
      </c>
      <c r="Q13">
        <v>1.75</v>
      </c>
      <c r="T13">
        <v>0</v>
      </c>
      <c r="U13" t="s">
        <v>76</v>
      </c>
      <c r="V13" t="s">
        <v>77</v>
      </c>
      <c r="W13" t="s">
        <v>78</v>
      </c>
      <c r="X13">
        <v>1</v>
      </c>
      <c r="Y13">
        <v>1</v>
      </c>
      <c r="AB13">
        <v>1</v>
      </c>
      <c r="AC13">
        <v>42439</v>
      </c>
      <c r="AG13">
        <v>1</v>
      </c>
      <c r="AH13" t="s">
        <v>79</v>
      </c>
      <c r="AI13" s="1">
        <v>40</v>
      </c>
      <c r="AJ13" s="1">
        <v>100</v>
      </c>
      <c r="AK13" s="1">
        <v>40</v>
      </c>
      <c r="AL13" s="1">
        <v>20</v>
      </c>
      <c r="AM13">
        <v>100</v>
      </c>
      <c r="AN13">
        <v>20</v>
      </c>
      <c r="AO13">
        <v>30</v>
      </c>
      <c r="AP13">
        <v>30</v>
      </c>
      <c r="AQ13">
        <v>30</v>
      </c>
      <c r="AT13">
        <v>30</v>
      </c>
      <c r="AU13">
        <v>30</v>
      </c>
      <c r="AV13">
        <v>30</v>
      </c>
      <c r="AW13">
        <v>1</v>
      </c>
      <c r="AX13">
        <f t="shared" si="0"/>
        <v>200</v>
      </c>
      <c r="AY13">
        <v>6</v>
      </c>
      <c r="AZ13">
        <f t="shared" si="1"/>
        <v>1200</v>
      </c>
      <c r="BA13">
        <f t="shared" si="2"/>
        <v>48</v>
      </c>
      <c r="BB13">
        <f t="shared" si="19"/>
        <v>9600</v>
      </c>
      <c r="BC13">
        <f t="shared" si="12"/>
        <v>96000</v>
      </c>
      <c r="BD13">
        <f t="shared" si="3"/>
        <v>20</v>
      </c>
      <c r="BE13">
        <f t="shared" si="3"/>
        <v>50</v>
      </c>
      <c r="BF13">
        <f t="shared" si="3"/>
        <v>20</v>
      </c>
      <c r="BG13">
        <f t="shared" si="3"/>
        <v>10</v>
      </c>
      <c r="BH13">
        <f t="shared" si="3"/>
        <v>50</v>
      </c>
      <c r="BI13">
        <f t="shared" si="3"/>
        <v>10</v>
      </c>
      <c r="BJ13">
        <f t="shared" si="3"/>
        <v>15</v>
      </c>
      <c r="BK13">
        <v>30</v>
      </c>
      <c r="BL13">
        <v>30</v>
      </c>
      <c r="BO13">
        <v>1</v>
      </c>
      <c r="BP13">
        <f t="shared" si="13"/>
        <v>100</v>
      </c>
      <c r="BQ13">
        <v>6</v>
      </c>
      <c r="BR13">
        <f t="shared" si="4"/>
        <v>600</v>
      </c>
      <c r="BS13">
        <f t="shared" si="5"/>
        <v>48</v>
      </c>
      <c r="BT13">
        <f t="shared" si="20"/>
        <v>4800</v>
      </c>
      <c r="BU13">
        <f t="shared" si="14"/>
        <v>48000</v>
      </c>
      <c r="BV13" s="1">
        <v>40</v>
      </c>
      <c r="BW13" s="1">
        <v>100</v>
      </c>
      <c r="BX13" s="1">
        <v>40</v>
      </c>
      <c r="BY13" s="1">
        <v>20</v>
      </c>
      <c r="BZ13">
        <v>50</v>
      </c>
      <c r="CA13">
        <v>50</v>
      </c>
      <c r="CB13">
        <v>30</v>
      </c>
      <c r="CC13">
        <v>30</v>
      </c>
      <c r="CD13">
        <v>30</v>
      </c>
      <c r="CG13">
        <v>1</v>
      </c>
      <c r="CH13">
        <f t="shared" si="15"/>
        <v>200</v>
      </c>
      <c r="CI13">
        <v>6</v>
      </c>
      <c r="CJ13">
        <f t="shared" si="23"/>
        <v>300</v>
      </c>
      <c r="CK13">
        <f t="shared" si="7"/>
        <v>48</v>
      </c>
      <c r="CL13">
        <f t="shared" si="21"/>
        <v>9600</v>
      </c>
      <c r="CM13">
        <f t="shared" si="16"/>
        <v>96000</v>
      </c>
      <c r="CN13">
        <f t="shared" si="8"/>
        <v>20</v>
      </c>
      <c r="CO13">
        <f t="shared" si="8"/>
        <v>50</v>
      </c>
      <c r="CP13">
        <f t="shared" si="8"/>
        <v>20</v>
      </c>
      <c r="CQ13">
        <f t="shared" si="8"/>
        <v>10</v>
      </c>
      <c r="CR13">
        <f t="shared" si="8"/>
        <v>50</v>
      </c>
      <c r="CS13">
        <f t="shared" si="8"/>
        <v>10</v>
      </c>
      <c r="CT13">
        <v>1</v>
      </c>
      <c r="CU13">
        <f t="shared" si="17"/>
        <v>100</v>
      </c>
      <c r="CV13">
        <v>6</v>
      </c>
      <c r="CW13">
        <f t="shared" si="24"/>
        <v>60</v>
      </c>
      <c r="CX13">
        <f t="shared" si="10"/>
        <v>48</v>
      </c>
      <c r="CY13">
        <f t="shared" si="22"/>
        <v>4800</v>
      </c>
      <c r="CZ13">
        <f t="shared" si="18"/>
        <v>48000</v>
      </c>
    </row>
    <row r="14" spans="1:104" x14ac:dyDescent="0.25">
      <c r="A14">
        <f t="shared" si="11"/>
        <v>4800</v>
      </c>
      <c r="B14" t="s">
        <v>177</v>
      </c>
      <c r="C14" t="s">
        <v>178</v>
      </c>
      <c r="D14" t="s">
        <v>179</v>
      </c>
      <c r="E14" t="s">
        <v>180</v>
      </c>
      <c r="F14" t="s">
        <v>164</v>
      </c>
      <c r="G14" t="s">
        <v>164</v>
      </c>
      <c r="H14" t="s">
        <v>86</v>
      </c>
      <c r="I14">
        <v>40000</v>
      </c>
      <c r="J14" t="s">
        <v>107</v>
      </c>
      <c r="K14" t="s">
        <v>181</v>
      </c>
      <c r="L14" t="s">
        <v>182</v>
      </c>
      <c r="M14" t="s">
        <v>183</v>
      </c>
      <c r="N14" t="s">
        <v>90</v>
      </c>
      <c r="O14" t="s">
        <v>74</v>
      </c>
      <c r="P14" t="s">
        <v>75</v>
      </c>
      <c r="Q14">
        <v>1.75</v>
      </c>
      <c r="T14">
        <v>0</v>
      </c>
      <c r="U14" t="s">
        <v>76</v>
      </c>
      <c r="V14" t="s">
        <v>77</v>
      </c>
      <c r="W14" t="s">
        <v>78</v>
      </c>
      <c r="X14">
        <v>1</v>
      </c>
      <c r="Y14">
        <v>1</v>
      </c>
      <c r="AB14">
        <v>1</v>
      </c>
      <c r="AC14">
        <v>42439</v>
      </c>
      <c r="AG14">
        <v>1</v>
      </c>
      <c r="AH14" t="s">
        <v>79</v>
      </c>
      <c r="AI14" s="1">
        <v>20</v>
      </c>
      <c r="AJ14" s="1">
        <v>40</v>
      </c>
      <c r="AK14" s="1">
        <v>30</v>
      </c>
      <c r="AL14" s="1">
        <v>10</v>
      </c>
      <c r="AM14">
        <v>30</v>
      </c>
      <c r="AN14">
        <v>20</v>
      </c>
      <c r="AO14">
        <v>10</v>
      </c>
      <c r="AP14">
        <v>10</v>
      </c>
      <c r="AQ14">
        <v>10</v>
      </c>
      <c r="AT14">
        <v>10</v>
      </c>
      <c r="AU14">
        <v>10</v>
      </c>
      <c r="AV14">
        <v>10</v>
      </c>
      <c r="AW14">
        <v>1</v>
      </c>
      <c r="AX14">
        <f t="shared" si="0"/>
        <v>100</v>
      </c>
      <c r="AY14">
        <v>6</v>
      </c>
      <c r="AZ14">
        <f t="shared" si="1"/>
        <v>600</v>
      </c>
      <c r="BA14">
        <f t="shared" si="2"/>
        <v>48</v>
      </c>
      <c r="BB14">
        <f t="shared" si="19"/>
        <v>4800</v>
      </c>
      <c r="BC14">
        <f t="shared" si="12"/>
        <v>48000</v>
      </c>
      <c r="BD14">
        <f t="shared" si="3"/>
        <v>10</v>
      </c>
      <c r="BE14">
        <f t="shared" si="3"/>
        <v>20</v>
      </c>
      <c r="BF14">
        <f t="shared" si="3"/>
        <v>15</v>
      </c>
      <c r="BG14">
        <f t="shared" si="3"/>
        <v>5</v>
      </c>
      <c r="BH14">
        <f t="shared" si="3"/>
        <v>15</v>
      </c>
      <c r="BI14">
        <f t="shared" si="3"/>
        <v>10</v>
      </c>
      <c r="BJ14">
        <f t="shared" si="3"/>
        <v>5</v>
      </c>
      <c r="BK14">
        <v>10</v>
      </c>
      <c r="BL14">
        <v>10</v>
      </c>
      <c r="BO14">
        <v>1</v>
      </c>
      <c r="BP14">
        <f t="shared" si="13"/>
        <v>50</v>
      </c>
      <c r="BQ14">
        <v>6</v>
      </c>
      <c r="BR14">
        <f t="shared" si="4"/>
        <v>300</v>
      </c>
      <c r="BS14">
        <f t="shared" si="5"/>
        <v>48</v>
      </c>
      <c r="BT14">
        <f t="shared" si="20"/>
        <v>2400</v>
      </c>
      <c r="BU14">
        <f t="shared" si="14"/>
        <v>24000</v>
      </c>
      <c r="BV14" s="1">
        <v>20</v>
      </c>
      <c r="BW14" s="1">
        <v>40</v>
      </c>
      <c r="BX14" s="1">
        <v>30</v>
      </c>
      <c r="BY14" s="1">
        <v>10</v>
      </c>
      <c r="BZ14">
        <v>20</v>
      </c>
      <c r="CA14">
        <v>20</v>
      </c>
      <c r="CB14">
        <v>10</v>
      </c>
      <c r="CC14">
        <v>10</v>
      </c>
      <c r="CD14">
        <v>10</v>
      </c>
      <c r="CG14">
        <v>1</v>
      </c>
      <c r="CH14">
        <f t="shared" si="15"/>
        <v>100</v>
      </c>
      <c r="CI14">
        <v>6</v>
      </c>
      <c r="CJ14">
        <f t="shared" si="23"/>
        <v>120</v>
      </c>
      <c r="CK14">
        <f t="shared" si="7"/>
        <v>48</v>
      </c>
      <c r="CL14">
        <f t="shared" si="21"/>
        <v>4800</v>
      </c>
      <c r="CM14">
        <f t="shared" si="16"/>
        <v>48000</v>
      </c>
      <c r="CN14">
        <f t="shared" si="8"/>
        <v>10</v>
      </c>
      <c r="CO14">
        <f t="shared" si="8"/>
        <v>20</v>
      </c>
      <c r="CP14">
        <f t="shared" si="8"/>
        <v>15</v>
      </c>
      <c r="CQ14">
        <f t="shared" si="8"/>
        <v>5</v>
      </c>
      <c r="CR14">
        <f t="shared" si="8"/>
        <v>15</v>
      </c>
      <c r="CS14">
        <f t="shared" si="8"/>
        <v>10</v>
      </c>
      <c r="CT14">
        <v>1</v>
      </c>
      <c r="CU14">
        <f t="shared" si="17"/>
        <v>50</v>
      </c>
      <c r="CV14">
        <v>6</v>
      </c>
      <c r="CW14">
        <f t="shared" si="24"/>
        <v>60</v>
      </c>
      <c r="CX14">
        <f t="shared" si="10"/>
        <v>48</v>
      </c>
      <c r="CY14">
        <f t="shared" si="22"/>
        <v>2400</v>
      </c>
      <c r="CZ14">
        <f t="shared" si="18"/>
        <v>24000</v>
      </c>
    </row>
    <row r="15" spans="1:104" x14ac:dyDescent="0.25">
      <c r="A15">
        <f t="shared" si="11"/>
        <v>5280</v>
      </c>
      <c r="B15" t="s">
        <v>184</v>
      </c>
      <c r="C15" t="s">
        <v>185</v>
      </c>
      <c r="D15" t="s">
        <v>186</v>
      </c>
      <c r="E15" t="s">
        <v>187</v>
      </c>
      <c r="F15" t="s">
        <v>188</v>
      </c>
      <c r="G15" t="s">
        <v>189</v>
      </c>
      <c r="H15" t="s">
        <v>190</v>
      </c>
      <c r="I15">
        <v>93050</v>
      </c>
      <c r="J15" t="s">
        <v>107</v>
      </c>
      <c r="K15" t="s">
        <v>191</v>
      </c>
      <c r="L15" t="s">
        <v>192</v>
      </c>
      <c r="M15" t="s">
        <v>193</v>
      </c>
      <c r="N15" t="s">
        <v>90</v>
      </c>
      <c r="O15" t="s">
        <v>111</v>
      </c>
      <c r="P15" t="s">
        <v>75</v>
      </c>
      <c r="Q15">
        <v>2</v>
      </c>
      <c r="U15" t="s">
        <v>76</v>
      </c>
      <c r="V15" t="s">
        <v>77</v>
      </c>
      <c r="W15" t="s">
        <v>78</v>
      </c>
      <c r="X15">
        <v>1</v>
      </c>
      <c r="Y15">
        <v>1</v>
      </c>
      <c r="AB15">
        <v>1</v>
      </c>
      <c r="AF15" t="s">
        <v>194</v>
      </c>
      <c r="AG15">
        <v>1</v>
      </c>
      <c r="AH15" t="s">
        <v>79</v>
      </c>
      <c r="AI15" s="1">
        <v>30</v>
      </c>
      <c r="AJ15" s="1">
        <v>50</v>
      </c>
      <c r="AK15" s="1">
        <v>20</v>
      </c>
      <c r="AL15" s="1">
        <v>10</v>
      </c>
      <c r="AM15">
        <v>20</v>
      </c>
      <c r="AN15">
        <v>10</v>
      </c>
      <c r="AO15">
        <v>10</v>
      </c>
      <c r="AP15">
        <v>10</v>
      </c>
      <c r="AQ15">
        <v>10</v>
      </c>
      <c r="AT15">
        <v>10</v>
      </c>
      <c r="AU15">
        <v>10</v>
      </c>
      <c r="AV15">
        <v>10</v>
      </c>
      <c r="AW15">
        <v>1</v>
      </c>
      <c r="AX15">
        <f t="shared" si="0"/>
        <v>110</v>
      </c>
      <c r="AY15">
        <v>6</v>
      </c>
      <c r="AZ15">
        <f t="shared" si="1"/>
        <v>660</v>
      </c>
      <c r="BA15">
        <f t="shared" si="2"/>
        <v>48</v>
      </c>
      <c r="BB15">
        <f t="shared" si="19"/>
        <v>5280</v>
      </c>
      <c r="BC15">
        <f t="shared" si="12"/>
        <v>52800</v>
      </c>
      <c r="BD15">
        <f t="shared" si="3"/>
        <v>15</v>
      </c>
      <c r="BE15">
        <f t="shared" si="3"/>
        <v>25</v>
      </c>
      <c r="BF15">
        <f t="shared" si="3"/>
        <v>10</v>
      </c>
      <c r="BG15">
        <f t="shared" si="3"/>
        <v>5</v>
      </c>
      <c r="BH15">
        <f t="shared" si="3"/>
        <v>10</v>
      </c>
      <c r="BI15">
        <f t="shared" si="3"/>
        <v>5</v>
      </c>
      <c r="BJ15">
        <f t="shared" si="3"/>
        <v>5</v>
      </c>
      <c r="BK15">
        <v>10</v>
      </c>
      <c r="BL15">
        <v>10</v>
      </c>
      <c r="BO15">
        <v>1</v>
      </c>
      <c r="BP15">
        <f t="shared" si="13"/>
        <v>55</v>
      </c>
      <c r="BQ15">
        <v>6</v>
      </c>
      <c r="BR15">
        <f t="shared" si="4"/>
        <v>330</v>
      </c>
      <c r="BS15">
        <f t="shared" si="5"/>
        <v>48</v>
      </c>
      <c r="BT15">
        <f t="shared" si="20"/>
        <v>2640</v>
      </c>
      <c r="BU15">
        <f t="shared" si="14"/>
        <v>26400</v>
      </c>
      <c r="BV15" s="1">
        <v>30</v>
      </c>
      <c r="BW15" s="1">
        <v>50</v>
      </c>
      <c r="BX15" s="1">
        <v>20</v>
      </c>
      <c r="BY15" s="1">
        <v>10</v>
      </c>
      <c r="BZ15">
        <v>10</v>
      </c>
      <c r="CA15">
        <v>10</v>
      </c>
      <c r="CB15">
        <v>10</v>
      </c>
      <c r="CC15">
        <v>10</v>
      </c>
      <c r="CD15">
        <v>10</v>
      </c>
      <c r="CG15">
        <v>1</v>
      </c>
      <c r="CH15">
        <f t="shared" si="15"/>
        <v>110</v>
      </c>
      <c r="CI15">
        <v>6</v>
      </c>
      <c r="CJ15">
        <f t="shared" si="23"/>
        <v>60</v>
      </c>
      <c r="CK15">
        <f t="shared" si="7"/>
        <v>48</v>
      </c>
      <c r="CL15">
        <f t="shared" si="21"/>
        <v>5280</v>
      </c>
      <c r="CM15">
        <f t="shared" si="16"/>
        <v>52800</v>
      </c>
      <c r="CN15">
        <f t="shared" si="8"/>
        <v>15</v>
      </c>
      <c r="CO15">
        <f t="shared" si="8"/>
        <v>25</v>
      </c>
      <c r="CP15">
        <f t="shared" si="8"/>
        <v>10</v>
      </c>
      <c r="CQ15">
        <f t="shared" si="8"/>
        <v>5</v>
      </c>
      <c r="CR15">
        <f t="shared" si="8"/>
        <v>10</v>
      </c>
      <c r="CS15">
        <f t="shared" si="8"/>
        <v>5</v>
      </c>
      <c r="CT15">
        <v>1</v>
      </c>
      <c r="CU15">
        <f t="shared" si="17"/>
        <v>55</v>
      </c>
      <c r="CV15">
        <v>6</v>
      </c>
      <c r="CW15">
        <f t="shared" si="24"/>
        <v>30</v>
      </c>
      <c r="CX15">
        <f t="shared" si="10"/>
        <v>48</v>
      </c>
      <c r="CY15">
        <f t="shared" si="22"/>
        <v>2640</v>
      </c>
      <c r="CZ15">
        <f t="shared" si="18"/>
        <v>26400</v>
      </c>
    </row>
    <row r="16" spans="1:104" x14ac:dyDescent="0.25">
      <c r="A16">
        <f t="shared" si="11"/>
        <v>0</v>
      </c>
      <c r="B16" t="s">
        <v>195</v>
      </c>
      <c r="C16" t="s">
        <v>196</v>
      </c>
      <c r="D16" t="s">
        <v>197</v>
      </c>
      <c r="E16" t="s">
        <v>198</v>
      </c>
      <c r="F16" t="s">
        <v>199</v>
      </c>
      <c r="G16" t="s">
        <v>164</v>
      </c>
      <c r="H16" t="s">
        <v>86</v>
      </c>
      <c r="I16">
        <v>40460</v>
      </c>
      <c r="J16" t="s">
        <v>69</v>
      </c>
      <c r="K16" t="s">
        <v>200</v>
      </c>
      <c r="L16" t="s">
        <v>201</v>
      </c>
      <c r="M16" t="s">
        <v>202</v>
      </c>
      <c r="N16" t="s">
        <v>90</v>
      </c>
      <c r="O16" t="s">
        <v>111</v>
      </c>
      <c r="P16" t="s">
        <v>75</v>
      </c>
      <c r="Q16">
        <v>1.75</v>
      </c>
      <c r="T16">
        <v>0</v>
      </c>
      <c r="U16" t="s">
        <v>76</v>
      </c>
      <c r="V16" t="s">
        <v>77</v>
      </c>
      <c r="W16" t="s">
        <v>78</v>
      </c>
      <c r="X16">
        <v>1</v>
      </c>
      <c r="Y16">
        <v>1</v>
      </c>
      <c r="AC16">
        <v>42439</v>
      </c>
      <c r="AG16">
        <v>1</v>
      </c>
      <c r="AH16" t="s">
        <v>79</v>
      </c>
      <c r="AI16" s="1">
        <v>0</v>
      </c>
      <c r="AJ16" s="1">
        <v>0</v>
      </c>
      <c r="AK16" s="1">
        <v>0</v>
      </c>
      <c r="AL16" s="1">
        <v>0</v>
      </c>
      <c r="AM16">
        <v>0</v>
      </c>
      <c r="AN16">
        <v>10</v>
      </c>
      <c r="AO16">
        <v>0</v>
      </c>
      <c r="AP16">
        <v>0</v>
      </c>
      <c r="AQ16">
        <v>0</v>
      </c>
      <c r="AT16">
        <v>0</v>
      </c>
      <c r="AU16">
        <v>0</v>
      </c>
      <c r="AV16">
        <v>0</v>
      </c>
      <c r="AX16">
        <f t="shared" si="0"/>
        <v>0</v>
      </c>
      <c r="AY16">
        <v>6</v>
      </c>
      <c r="AZ16">
        <f t="shared" si="1"/>
        <v>0</v>
      </c>
      <c r="BA16">
        <f t="shared" si="2"/>
        <v>48</v>
      </c>
      <c r="BB16">
        <f t="shared" si="19"/>
        <v>0</v>
      </c>
      <c r="BC16">
        <f t="shared" si="12"/>
        <v>0</v>
      </c>
      <c r="BD16">
        <f t="shared" si="3"/>
        <v>0</v>
      </c>
      <c r="BE16">
        <f t="shared" si="3"/>
        <v>0</v>
      </c>
      <c r="BF16">
        <f t="shared" si="3"/>
        <v>0</v>
      </c>
      <c r="BG16">
        <f t="shared" si="3"/>
        <v>0</v>
      </c>
      <c r="BH16">
        <f t="shared" si="3"/>
        <v>0</v>
      </c>
      <c r="BI16">
        <f t="shared" si="3"/>
        <v>5</v>
      </c>
      <c r="BJ16">
        <f t="shared" si="3"/>
        <v>0</v>
      </c>
      <c r="BK16">
        <v>0</v>
      </c>
      <c r="BL16">
        <v>0</v>
      </c>
      <c r="BP16">
        <f t="shared" si="13"/>
        <v>0</v>
      </c>
      <c r="BQ16">
        <v>6</v>
      </c>
      <c r="BR16">
        <f t="shared" si="4"/>
        <v>0</v>
      </c>
      <c r="BS16">
        <f t="shared" si="5"/>
        <v>48</v>
      </c>
      <c r="BT16">
        <f t="shared" si="20"/>
        <v>0</v>
      </c>
      <c r="BU16">
        <f t="shared" si="14"/>
        <v>0</v>
      </c>
      <c r="BV16" s="1">
        <v>0</v>
      </c>
      <c r="BW16" s="1">
        <v>0</v>
      </c>
      <c r="BX16" s="1">
        <v>0</v>
      </c>
      <c r="BY16" s="1">
        <v>0</v>
      </c>
      <c r="BZ16">
        <v>0</v>
      </c>
      <c r="CA16">
        <v>0</v>
      </c>
      <c r="CB16">
        <v>0</v>
      </c>
      <c r="CC16">
        <v>0</v>
      </c>
      <c r="CD16">
        <v>0</v>
      </c>
      <c r="CH16">
        <f t="shared" si="15"/>
        <v>0</v>
      </c>
      <c r="CI16">
        <v>6</v>
      </c>
      <c r="CJ16">
        <f t="shared" si="23"/>
        <v>0</v>
      </c>
      <c r="CK16">
        <f t="shared" si="7"/>
        <v>48</v>
      </c>
      <c r="CL16">
        <f t="shared" si="21"/>
        <v>0</v>
      </c>
      <c r="CM16">
        <f t="shared" si="16"/>
        <v>0</v>
      </c>
      <c r="CN16">
        <f t="shared" si="8"/>
        <v>0</v>
      </c>
      <c r="CO16">
        <f t="shared" si="8"/>
        <v>0</v>
      </c>
      <c r="CP16">
        <f t="shared" si="8"/>
        <v>0</v>
      </c>
      <c r="CQ16">
        <f t="shared" si="8"/>
        <v>0</v>
      </c>
      <c r="CR16">
        <f t="shared" si="8"/>
        <v>0</v>
      </c>
      <c r="CS16">
        <f t="shared" si="8"/>
        <v>5</v>
      </c>
      <c r="CU16">
        <f t="shared" si="17"/>
        <v>0</v>
      </c>
      <c r="CV16">
        <v>6</v>
      </c>
      <c r="CW16">
        <f t="shared" si="24"/>
        <v>30</v>
      </c>
      <c r="CX16">
        <f t="shared" si="10"/>
        <v>48</v>
      </c>
      <c r="CY16">
        <f t="shared" si="22"/>
        <v>0</v>
      </c>
      <c r="CZ16">
        <f t="shared" si="18"/>
        <v>0</v>
      </c>
    </row>
    <row r="17" spans="1:104" x14ac:dyDescent="0.25">
      <c r="A17">
        <f t="shared" si="11"/>
        <v>10560</v>
      </c>
      <c r="B17" t="s">
        <v>203</v>
      </c>
      <c r="C17" t="s">
        <v>204</v>
      </c>
      <c r="D17" t="s">
        <v>205</v>
      </c>
      <c r="E17" t="s">
        <v>206</v>
      </c>
      <c r="F17" t="s">
        <v>207</v>
      </c>
      <c r="G17" t="s">
        <v>208</v>
      </c>
      <c r="H17" t="s">
        <v>208</v>
      </c>
      <c r="J17" t="s">
        <v>209</v>
      </c>
      <c r="K17" t="s">
        <v>210</v>
      </c>
      <c r="L17" t="s">
        <v>211</v>
      </c>
      <c r="M17" t="s">
        <v>212</v>
      </c>
      <c r="N17" t="s">
        <v>73</v>
      </c>
      <c r="O17" t="s">
        <v>213</v>
      </c>
      <c r="P17" t="s">
        <v>214</v>
      </c>
      <c r="Q17">
        <v>1.75</v>
      </c>
      <c r="R17" t="s">
        <v>215</v>
      </c>
      <c r="S17" t="s">
        <v>216</v>
      </c>
      <c r="T17">
        <v>1</v>
      </c>
      <c r="U17" t="s">
        <v>76</v>
      </c>
      <c r="V17" t="s">
        <v>217</v>
      </c>
      <c r="W17" t="s">
        <v>203</v>
      </c>
      <c r="X17">
        <v>1</v>
      </c>
      <c r="Y17">
        <v>1</v>
      </c>
      <c r="AB17">
        <v>1</v>
      </c>
      <c r="AC17">
        <v>42439</v>
      </c>
      <c r="AG17">
        <v>1</v>
      </c>
      <c r="AH17" t="s">
        <v>218</v>
      </c>
      <c r="AI17" s="1">
        <v>50</v>
      </c>
      <c r="AJ17" s="1">
        <v>120</v>
      </c>
      <c r="AK17" s="1">
        <v>50</v>
      </c>
      <c r="AL17" s="1">
        <v>0</v>
      </c>
      <c r="AM17">
        <v>20</v>
      </c>
      <c r="AN17">
        <v>10</v>
      </c>
      <c r="AO17">
        <v>0</v>
      </c>
      <c r="AP17">
        <v>0</v>
      </c>
      <c r="AQ17">
        <v>0</v>
      </c>
      <c r="AR17">
        <v>30</v>
      </c>
      <c r="AT17">
        <v>0</v>
      </c>
      <c r="AU17">
        <v>0</v>
      </c>
      <c r="AV17">
        <v>0</v>
      </c>
      <c r="AW17">
        <v>1</v>
      </c>
      <c r="AX17">
        <f t="shared" si="0"/>
        <v>220</v>
      </c>
      <c r="AY17">
        <v>6</v>
      </c>
      <c r="AZ17">
        <f t="shared" si="1"/>
        <v>1320</v>
      </c>
      <c r="BA17">
        <f t="shared" si="2"/>
        <v>48</v>
      </c>
      <c r="BB17">
        <f t="shared" si="19"/>
        <v>10560</v>
      </c>
      <c r="BC17">
        <f t="shared" si="12"/>
        <v>105600</v>
      </c>
      <c r="BD17">
        <f t="shared" si="3"/>
        <v>25</v>
      </c>
      <c r="BE17">
        <f t="shared" si="3"/>
        <v>60</v>
      </c>
      <c r="BF17">
        <f t="shared" si="3"/>
        <v>25</v>
      </c>
      <c r="BG17">
        <f t="shared" si="3"/>
        <v>0</v>
      </c>
      <c r="BH17">
        <f t="shared" si="3"/>
        <v>10</v>
      </c>
      <c r="BI17">
        <f t="shared" si="3"/>
        <v>5</v>
      </c>
      <c r="BJ17">
        <f t="shared" si="3"/>
        <v>0</v>
      </c>
      <c r="BK17">
        <v>0</v>
      </c>
      <c r="BL17">
        <v>0</v>
      </c>
      <c r="BM17">
        <v>30</v>
      </c>
      <c r="BO17">
        <v>1</v>
      </c>
      <c r="BP17">
        <f t="shared" si="13"/>
        <v>110</v>
      </c>
      <c r="BQ17">
        <v>6</v>
      </c>
      <c r="BR17">
        <f t="shared" si="4"/>
        <v>660</v>
      </c>
      <c r="BS17">
        <f t="shared" si="5"/>
        <v>48</v>
      </c>
      <c r="BT17">
        <f t="shared" si="20"/>
        <v>5280</v>
      </c>
      <c r="BU17">
        <f t="shared" si="14"/>
        <v>52800</v>
      </c>
      <c r="BV17" s="1">
        <v>30</v>
      </c>
      <c r="BW17" s="1">
        <v>70</v>
      </c>
      <c r="BX17" s="1">
        <v>20</v>
      </c>
      <c r="BY17" s="1">
        <v>0</v>
      </c>
      <c r="BZ17">
        <v>10</v>
      </c>
      <c r="CA17">
        <v>10</v>
      </c>
      <c r="CB17">
        <v>0</v>
      </c>
      <c r="CC17">
        <v>0</v>
      </c>
      <c r="CD17">
        <v>0</v>
      </c>
      <c r="CE17">
        <v>30</v>
      </c>
      <c r="CG17">
        <v>1</v>
      </c>
      <c r="CH17">
        <f t="shared" si="15"/>
        <v>120</v>
      </c>
      <c r="CI17">
        <v>6</v>
      </c>
      <c r="CJ17">
        <f t="shared" si="23"/>
        <v>60</v>
      </c>
      <c r="CK17">
        <f t="shared" si="7"/>
        <v>48</v>
      </c>
      <c r="CL17">
        <f t="shared" si="21"/>
        <v>5760</v>
      </c>
      <c r="CM17">
        <f t="shared" si="16"/>
        <v>57600</v>
      </c>
      <c r="CN17">
        <f t="shared" si="8"/>
        <v>25</v>
      </c>
      <c r="CO17">
        <f t="shared" si="8"/>
        <v>60</v>
      </c>
      <c r="CP17">
        <f t="shared" si="8"/>
        <v>25</v>
      </c>
      <c r="CQ17">
        <f t="shared" si="8"/>
        <v>0</v>
      </c>
      <c r="CR17">
        <f t="shared" si="8"/>
        <v>10</v>
      </c>
      <c r="CS17">
        <f t="shared" si="8"/>
        <v>5</v>
      </c>
      <c r="CT17">
        <v>1</v>
      </c>
      <c r="CU17">
        <f t="shared" si="17"/>
        <v>110</v>
      </c>
      <c r="CV17">
        <v>6</v>
      </c>
      <c r="CW17">
        <f t="shared" si="24"/>
        <v>30</v>
      </c>
      <c r="CX17">
        <f t="shared" si="10"/>
        <v>48</v>
      </c>
      <c r="CY17">
        <f t="shared" si="22"/>
        <v>5280</v>
      </c>
      <c r="CZ17">
        <f t="shared" si="18"/>
        <v>52800</v>
      </c>
    </row>
    <row r="18" spans="1:104" x14ac:dyDescent="0.25">
      <c r="A18">
        <f t="shared" si="11"/>
        <v>2880</v>
      </c>
      <c r="B18" t="s">
        <v>219</v>
      </c>
      <c r="C18" t="s">
        <v>220</v>
      </c>
      <c r="D18" t="s">
        <v>221</v>
      </c>
      <c r="E18" t="s">
        <v>222</v>
      </c>
      <c r="F18" t="s">
        <v>223</v>
      </c>
      <c r="G18" t="s">
        <v>224</v>
      </c>
      <c r="I18" t="s">
        <v>225</v>
      </c>
      <c r="J18" t="s">
        <v>141</v>
      </c>
      <c r="K18" t="s">
        <v>226</v>
      </c>
      <c r="L18" t="s">
        <v>227</v>
      </c>
      <c r="M18" t="s">
        <v>228</v>
      </c>
      <c r="N18" t="s">
        <v>90</v>
      </c>
      <c r="O18" t="s">
        <v>145</v>
      </c>
      <c r="P18" t="s">
        <v>146</v>
      </c>
      <c r="Q18">
        <v>4</v>
      </c>
      <c r="T18">
        <v>0</v>
      </c>
      <c r="U18" t="s">
        <v>76</v>
      </c>
      <c r="V18" t="s">
        <v>148</v>
      </c>
      <c r="W18" t="s">
        <v>133</v>
      </c>
      <c r="X18">
        <v>1</v>
      </c>
      <c r="Y18">
        <v>1</v>
      </c>
      <c r="AB18">
        <v>1</v>
      </c>
      <c r="AC18">
        <v>42439</v>
      </c>
      <c r="AD18" t="s">
        <v>229</v>
      </c>
      <c r="AG18">
        <v>1</v>
      </c>
      <c r="AH18" t="s">
        <v>149</v>
      </c>
      <c r="AI18" s="1">
        <v>10</v>
      </c>
      <c r="AJ18" s="1">
        <v>30</v>
      </c>
      <c r="AK18" s="1">
        <v>10</v>
      </c>
      <c r="AL18" s="1">
        <v>10</v>
      </c>
      <c r="AM18">
        <v>20</v>
      </c>
      <c r="AN18">
        <v>10</v>
      </c>
      <c r="AO18">
        <v>10</v>
      </c>
      <c r="AP18">
        <v>10</v>
      </c>
      <c r="AQ18">
        <v>10</v>
      </c>
      <c r="AT18">
        <v>10</v>
      </c>
      <c r="AU18">
        <v>10</v>
      </c>
      <c r="AV18">
        <v>10</v>
      </c>
      <c r="AW18">
        <v>1</v>
      </c>
      <c r="AX18">
        <f t="shared" si="0"/>
        <v>60</v>
      </c>
      <c r="AY18">
        <v>6</v>
      </c>
      <c r="AZ18">
        <f t="shared" si="1"/>
        <v>360</v>
      </c>
      <c r="BA18">
        <f t="shared" si="2"/>
        <v>48</v>
      </c>
      <c r="BB18">
        <f t="shared" si="19"/>
        <v>2880</v>
      </c>
      <c r="BC18">
        <f t="shared" si="12"/>
        <v>28800</v>
      </c>
      <c r="BD18">
        <f t="shared" si="3"/>
        <v>5</v>
      </c>
      <c r="BE18">
        <f t="shared" si="3"/>
        <v>15</v>
      </c>
      <c r="BF18">
        <f t="shared" si="3"/>
        <v>5</v>
      </c>
      <c r="BG18">
        <f t="shared" si="3"/>
        <v>5</v>
      </c>
      <c r="BH18">
        <f t="shared" si="3"/>
        <v>10</v>
      </c>
      <c r="BI18">
        <f t="shared" si="3"/>
        <v>5</v>
      </c>
      <c r="BJ18">
        <f t="shared" si="3"/>
        <v>5</v>
      </c>
      <c r="BK18">
        <v>10</v>
      </c>
      <c r="BL18">
        <v>10</v>
      </c>
      <c r="BO18">
        <v>1</v>
      </c>
      <c r="BP18">
        <f t="shared" si="13"/>
        <v>30</v>
      </c>
      <c r="BQ18">
        <v>6</v>
      </c>
      <c r="BR18">
        <f t="shared" si="4"/>
        <v>180</v>
      </c>
      <c r="BS18">
        <f t="shared" si="5"/>
        <v>48</v>
      </c>
      <c r="BT18">
        <f t="shared" si="20"/>
        <v>1440</v>
      </c>
      <c r="BU18">
        <f t="shared" si="14"/>
        <v>14400</v>
      </c>
      <c r="BV18" s="1">
        <v>30</v>
      </c>
      <c r="BW18" s="1">
        <v>50</v>
      </c>
      <c r="BX18" s="1">
        <v>20</v>
      </c>
      <c r="BY18" s="1">
        <v>10</v>
      </c>
      <c r="BZ18">
        <v>10</v>
      </c>
      <c r="CA18">
        <v>10</v>
      </c>
      <c r="CB18">
        <v>10</v>
      </c>
      <c r="CC18">
        <v>10</v>
      </c>
      <c r="CD18">
        <v>10</v>
      </c>
      <c r="CG18">
        <v>1</v>
      </c>
      <c r="CH18">
        <f t="shared" si="15"/>
        <v>110</v>
      </c>
      <c r="CI18">
        <v>6</v>
      </c>
      <c r="CJ18">
        <f t="shared" si="23"/>
        <v>60</v>
      </c>
      <c r="CK18">
        <f t="shared" si="7"/>
        <v>48</v>
      </c>
      <c r="CL18">
        <f t="shared" si="21"/>
        <v>5280</v>
      </c>
      <c r="CM18">
        <f t="shared" si="16"/>
        <v>52800</v>
      </c>
      <c r="CN18">
        <f t="shared" si="8"/>
        <v>5</v>
      </c>
      <c r="CO18">
        <f t="shared" si="8"/>
        <v>15</v>
      </c>
      <c r="CP18">
        <f t="shared" si="8"/>
        <v>5</v>
      </c>
      <c r="CQ18">
        <f t="shared" si="8"/>
        <v>5</v>
      </c>
      <c r="CR18">
        <f t="shared" si="8"/>
        <v>10</v>
      </c>
      <c r="CS18">
        <f t="shared" si="8"/>
        <v>5</v>
      </c>
      <c r="CT18">
        <v>1</v>
      </c>
      <c r="CU18">
        <f t="shared" si="17"/>
        <v>30</v>
      </c>
      <c r="CV18">
        <v>6</v>
      </c>
      <c r="CW18">
        <f t="shared" si="24"/>
        <v>30</v>
      </c>
      <c r="CX18">
        <f t="shared" si="10"/>
        <v>48</v>
      </c>
      <c r="CY18">
        <f t="shared" si="22"/>
        <v>1440</v>
      </c>
      <c r="CZ18">
        <f t="shared" si="18"/>
        <v>14400</v>
      </c>
    </row>
    <row r="19" spans="1:104" x14ac:dyDescent="0.25">
      <c r="A19">
        <f t="shared" si="11"/>
        <v>6240</v>
      </c>
      <c r="B19" t="s">
        <v>230</v>
      </c>
      <c r="C19" t="s">
        <v>231</v>
      </c>
      <c r="D19" t="s">
        <v>232</v>
      </c>
      <c r="E19" t="s">
        <v>233</v>
      </c>
      <c r="F19" t="s">
        <v>234</v>
      </c>
      <c r="G19" t="s">
        <v>235</v>
      </c>
      <c r="H19" t="s">
        <v>118</v>
      </c>
      <c r="I19">
        <v>47650</v>
      </c>
      <c r="J19" t="s">
        <v>107</v>
      </c>
      <c r="K19" t="s">
        <v>236</v>
      </c>
      <c r="L19" t="s">
        <v>237</v>
      </c>
      <c r="M19" t="s">
        <v>238</v>
      </c>
      <c r="N19" t="s">
        <v>90</v>
      </c>
      <c r="O19" t="s">
        <v>111</v>
      </c>
      <c r="P19" t="s">
        <v>75</v>
      </c>
      <c r="Q19">
        <v>2</v>
      </c>
      <c r="T19">
        <v>0</v>
      </c>
      <c r="U19" t="s">
        <v>76</v>
      </c>
      <c r="V19" t="s">
        <v>77</v>
      </c>
      <c r="W19" t="s">
        <v>78</v>
      </c>
      <c r="X19">
        <v>1</v>
      </c>
      <c r="Y19">
        <v>1</v>
      </c>
      <c r="AB19">
        <v>1</v>
      </c>
      <c r="AC19">
        <v>42439</v>
      </c>
      <c r="AG19">
        <v>1</v>
      </c>
      <c r="AH19" t="s">
        <v>79</v>
      </c>
      <c r="AI19" s="1">
        <v>20</v>
      </c>
      <c r="AJ19" s="1">
        <v>60</v>
      </c>
      <c r="AK19" s="1">
        <v>30</v>
      </c>
      <c r="AL19" s="1">
        <v>20</v>
      </c>
      <c r="AM19">
        <v>10</v>
      </c>
      <c r="AN19">
        <v>10</v>
      </c>
      <c r="AO19">
        <v>20</v>
      </c>
      <c r="AP19">
        <v>20</v>
      </c>
      <c r="AQ19">
        <v>20</v>
      </c>
      <c r="AT19">
        <v>20</v>
      </c>
      <c r="AU19">
        <v>20</v>
      </c>
      <c r="AV19">
        <v>20</v>
      </c>
      <c r="AW19">
        <v>1</v>
      </c>
      <c r="AX19">
        <f t="shared" si="0"/>
        <v>130</v>
      </c>
      <c r="AY19">
        <v>6</v>
      </c>
      <c r="AZ19">
        <f t="shared" si="1"/>
        <v>780</v>
      </c>
      <c r="BA19">
        <f t="shared" si="2"/>
        <v>48</v>
      </c>
      <c r="BB19">
        <f t="shared" si="19"/>
        <v>6240</v>
      </c>
      <c r="BC19">
        <f t="shared" si="12"/>
        <v>62400</v>
      </c>
      <c r="BD19">
        <f t="shared" si="3"/>
        <v>10</v>
      </c>
      <c r="BE19">
        <f t="shared" si="3"/>
        <v>30</v>
      </c>
      <c r="BF19">
        <f t="shared" si="3"/>
        <v>15</v>
      </c>
      <c r="BG19">
        <f t="shared" si="3"/>
        <v>10</v>
      </c>
      <c r="BH19">
        <f t="shared" si="3"/>
        <v>5</v>
      </c>
      <c r="BI19">
        <f t="shared" si="3"/>
        <v>5</v>
      </c>
      <c r="BJ19">
        <f t="shared" si="3"/>
        <v>10</v>
      </c>
      <c r="BK19">
        <v>20</v>
      </c>
      <c r="BL19">
        <v>20</v>
      </c>
      <c r="BO19">
        <v>1</v>
      </c>
      <c r="BP19">
        <f t="shared" si="13"/>
        <v>65</v>
      </c>
      <c r="BQ19">
        <v>6</v>
      </c>
      <c r="BR19">
        <f t="shared" si="4"/>
        <v>390</v>
      </c>
      <c r="BS19">
        <f t="shared" si="5"/>
        <v>48</v>
      </c>
      <c r="BT19">
        <f t="shared" si="20"/>
        <v>3120</v>
      </c>
      <c r="BU19">
        <f t="shared" si="14"/>
        <v>31200</v>
      </c>
      <c r="BV19" s="1">
        <v>20</v>
      </c>
      <c r="BW19" s="1">
        <v>60</v>
      </c>
      <c r="BX19" s="1">
        <v>30</v>
      </c>
      <c r="BY19" s="1">
        <v>20</v>
      </c>
      <c r="BZ19">
        <v>10</v>
      </c>
      <c r="CA19">
        <v>10</v>
      </c>
      <c r="CB19">
        <v>20</v>
      </c>
      <c r="CC19">
        <v>20</v>
      </c>
      <c r="CD19">
        <v>20</v>
      </c>
      <c r="CG19">
        <v>1</v>
      </c>
      <c r="CH19">
        <f t="shared" si="15"/>
        <v>130</v>
      </c>
      <c r="CI19">
        <v>6</v>
      </c>
      <c r="CJ19">
        <f t="shared" si="23"/>
        <v>60</v>
      </c>
      <c r="CK19">
        <f t="shared" si="7"/>
        <v>48</v>
      </c>
      <c r="CL19">
        <f t="shared" si="21"/>
        <v>6240</v>
      </c>
      <c r="CM19">
        <f t="shared" si="16"/>
        <v>62400</v>
      </c>
      <c r="CN19">
        <f t="shared" si="8"/>
        <v>10</v>
      </c>
      <c r="CO19">
        <f t="shared" si="8"/>
        <v>30</v>
      </c>
      <c r="CP19">
        <f t="shared" si="8"/>
        <v>15</v>
      </c>
      <c r="CQ19">
        <f t="shared" si="8"/>
        <v>10</v>
      </c>
      <c r="CR19">
        <f t="shared" si="8"/>
        <v>5</v>
      </c>
      <c r="CS19">
        <f t="shared" si="8"/>
        <v>5</v>
      </c>
      <c r="CT19">
        <v>1</v>
      </c>
      <c r="CU19">
        <f t="shared" si="17"/>
        <v>65</v>
      </c>
      <c r="CV19">
        <v>6</v>
      </c>
      <c r="CW19">
        <f t="shared" si="24"/>
        <v>30</v>
      </c>
      <c r="CX19">
        <f t="shared" si="10"/>
        <v>48</v>
      </c>
      <c r="CY19">
        <f t="shared" si="22"/>
        <v>3120</v>
      </c>
      <c r="CZ19">
        <f t="shared" si="18"/>
        <v>31200</v>
      </c>
    </row>
    <row r="20" spans="1:104" x14ac:dyDescent="0.25">
      <c r="A20">
        <f t="shared" si="11"/>
        <v>13920</v>
      </c>
      <c r="B20" t="s">
        <v>239</v>
      </c>
      <c r="C20" t="s">
        <v>240</v>
      </c>
      <c r="D20" t="s">
        <v>241</v>
      </c>
      <c r="E20" t="s">
        <v>242</v>
      </c>
      <c r="F20" t="s">
        <v>243</v>
      </c>
      <c r="G20" t="s">
        <v>244</v>
      </c>
      <c r="H20" t="s">
        <v>118</v>
      </c>
      <c r="I20">
        <v>48050</v>
      </c>
      <c r="J20" t="s">
        <v>107</v>
      </c>
      <c r="K20" t="s">
        <v>245</v>
      </c>
      <c r="L20" t="s">
        <v>246</v>
      </c>
      <c r="M20" t="s">
        <v>247</v>
      </c>
      <c r="N20" t="s">
        <v>90</v>
      </c>
      <c r="O20" t="s">
        <v>111</v>
      </c>
      <c r="P20" t="s">
        <v>75</v>
      </c>
      <c r="Q20">
        <v>2</v>
      </c>
      <c r="T20">
        <v>0</v>
      </c>
      <c r="U20" t="s">
        <v>76</v>
      </c>
      <c r="V20" t="s">
        <v>77</v>
      </c>
      <c r="W20" t="s">
        <v>78</v>
      </c>
      <c r="X20">
        <v>1</v>
      </c>
      <c r="Y20">
        <v>1</v>
      </c>
      <c r="AB20">
        <v>1</v>
      </c>
      <c r="AC20">
        <v>42439</v>
      </c>
      <c r="AE20" t="s">
        <v>248</v>
      </c>
      <c r="AF20" t="s">
        <v>249</v>
      </c>
      <c r="AG20">
        <v>1</v>
      </c>
      <c r="AH20" t="s">
        <v>79</v>
      </c>
      <c r="AI20" s="1">
        <v>60</v>
      </c>
      <c r="AJ20" s="1">
        <v>170</v>
      </c>
      <c r="AK20" s="1">
        <v>30</v>
      </c>
      <c r="AL20" s="1">
        <v>30</v>
      </c>
      <c r="AM20">
        <v>20</v>
      </c>
      <c r="AN20">
        <v>10</v>
      </c>
      <c r="AO20">
        <v>30</v>
      </c>
      <c r="AP20">
        <v>30</v>
      </c>
      <c r="AQ20">
        <v>30</v>
      </c>
      <c r="AT20">
        <v>30</v>
      </c>
      <c r="AU20">
        <v>30</v>
      </c>
      <c r="AV20">
        <v>30</v>
      </c>
      <c r="AW20">
        <v>1</v>
      </c>
      <c r="AX20">
        <f t="shared" si="0"/>
        <v>290</v>
      </c>
      <c r="AY20">
        <v>6</v>
      </c>
      <c r="AZ20">
        <f t="shared" si="1"/>
        <v>1740</v>
      </c>
      <c r="BA20">
        <f t="shared" si="2"/>
        <v>48</v>
      </c>
      <c r="BB20">
        <f t="shared" si="19"/>
        <v>13920</v>
      </c>
      <c r="BC20">
        <f t="shared" si="12"/>
        <v>139200</v>
      </c>
      <c r="BD20">
        <f t="shared" ref="BD20:BJ53" si="25">MROUND(AI20/2,5)</f>
        <v>30</v>
      </c>
      <c r="BE20">
        <f t="shared" si="25"/>
        <v>85</v>
      </c>
      <c r="BF20">
        <f t="shared" si="25"/>
        <v>15</v>
      </c>
      <c r="BG20">
        <f t="shared" si="25"/>
        <v>15</v>
      </c>
      <c r="BH20">
        <f t="shared" si="25"/>
        <v>10</v>
      </c>
      <c r="BI20">
        <f t="shared" si="25"/>
        <v>5</v>
      </c>
      <c r="BJ20">
        <f t="shared" si="25"/>
        <v>15</v>
      </c>
      <c r="BK20">
        <v>30</v>
      </c>
      <c r="BL20">
        <v>30</v>
      </c>
      <c r="BO20">
        <v>1</v>
      </c>
      <c r="BP20">
        <f t="shared" si="13"/>
        <v>145</v>
      </c>
      <c r="BQ20">
        <v>6</v>
      </c>
      <c r="BR20">
        <f t="shared" si="4"/>
        <v>870</v>
      </c>
      <c r="BS20">
        <f t="shared" si="5"/>
        <v>48</v>
      </c>
      <c r="BT20">
        <f t="shared" si="20"/>
        <v>6960</v>
      </c>
      <c r="BU20">
        <f t="shared" si="14"/>
        <v>69600</v>
      </c>
      <c r="BV20" s="1">
        <v>60</v>
      </c>
      <c r="BW20" s="1">
        <v>170</v>
      </c>
      <c r="BX20" s="1">
        <v>30</v>
      </c>
      <c r="BY20" s="1">
        <v>30</v>
      </c>
      <c r="BZ20">
        <v>10</v>
      </c>
      <c r="CA20">
        <v>10</v>
      </c>
      <c r="CB20">
        <v>30</v>
      </c>
      <c r="CC20">
        <v>30</v>
      </c>
      <c r="CD20">
        <v>30</v>
      </c>
      <c r="CG20">
        <v>1</v>
      </c>
      <c r="CH20">
        <f t="shared" si="15"/>
        <v>290</v>
      </c>
      <c r="CI20">
        <v>6</v>
      </c>
      <c r="CJ20">
        <f t="shared" si="23"/>
        <v>60</v>
      </c>
      <c r="CK20">
        <f t="shared" si="7"/>
        <v>48</v>
      </c>
      <c r="CL20">
        <f t="shared" si="21"/>
        <v>13920</v>
      </c>
      <c r="CM20">
        <f t="shared" si="16"/>
        <v>139200</v>
      </c>
      <c r="CN20">
        <f t="shared" si="8"/>
        <v>30</v>
      </c>
      <c r="CO20">
        <f t="shared" si="8"/>
        <v>85</v>
      </c>
      <c r="CP20">
        <f t="shared" si="8"/>
        <v>15</v>
      </c>
      <c r="CQ20">
        <f t="shared" si="8"/>
        <v>15</v>
      </c>
      <c r="CR20">
        <f t="shared" si="8"/>
        <v>10</v>
      </c>
      <c r="CS20">
        <f t="shared" si="8"/>
        <v>5</v>
      </c>
      <c r="CT20">
        <v>1</v>
      </c>
      <c r="CU20">
        <f t="shared" si="17"/>
        <v>145</v>
      </c>
      <c r="CV20">
        <v>6</v>
      </c>
      <c r="CW20">
        <f t="shared" si="24"/>
        <v>30</v>
      </c>
      <c r="CX20">
        <f t="shared" si="10"/>
        <v>48</v>
      </c>
      <c r="CY20">
        <f t="shared" si="22"/>
        <v>6960</v>
      </c>
      <c r="CZ20">
        <f t="shared" si="18"/>
        <v>69600</v>
      </c>
    </row>
    <row r="21" spans="1:104" x14ac:dyDescent="0.25">
      <c r="A21">
        <f t="shared" si="11"/>
        <v>8640</v>
      </c>
      <c r="B21" t="s">
        <v>250</v>
      </c>
      <c r="C21" t="s">
        <v>251</v>
      </c>
      <c r="D21" t="s">
        <v>252</v>
      </c>
      <c r="E21" t="s">
        <v>253</v>
      </c>
      <c r="F21" t="s">
        <v>254</v>
      </c>
      <c r="G21" t="s">
        <v>255</v>
      </c>
      <c r="H21" t="s">
        <v>118</v>
      </c>
      <c r="I21">
        <v>47810</v>
      </c>
      <c r="J21" t="s">
        <v>107</v>
      </c>
      <c r="K21" t="s">
        <v>256</v>
      </c>
      <c r="L21" t="s">
        <v>257</v>
      </c>
      <c r="M21" t="s">
        <v>258</v>
      </c>
      <c r="N21" t="s">
        <v>90</v>
      </c>
      <c r="O21" t="s">
        <v>111</v>
      </c>
      <c r="P21" t="s">
        <v>75</v>
      </c>
      <c r="Q21">
        <v>2</v>
      </c>
      <c r="U21" t="s">
        <v>76</v>
      </c>
      <c r="V21" t="s">
        <v>77</v>
      </c>
      <c r="W21" t="s">
        <v>78</v>
      </c>
      <c r="X21">
        <v>1</v>
      </c>
      <c r="Y21">
        <v>1</v>
      </c>
      <c r="AB21">
        <v>1</v>
      </c>
      <c r="AF21" t="s">
        <v>259</v>
      </c>
      <c r="AG21">
        <v>1</v>
      </c>
      <c r="AH21" t="s">
        <v>79</v>
      </c>
      <c r="AI21" s="1">
        <v>40</v>
      </c>
      <c r="AJ21" s="1">
        <v>80</v>
      </c>
      <c r="AK21" s="1">
        <v>30</v>
      </c>
      <c r="AL21" s="1">
        <v>30</v>
      </c>
      <c r="AM21">
        <v>20</v>
      </c>
      <c r="AN21">
        <v>10</v>
      </c>
      <c r="AO21">
        <v>30</v>
      </c>
      <c r="AP21">
        <v>30</v>
      </c>
      <c r="AQ21">
        <v>30</v>
      </c>
      <c r="AT21">
        <v>30</v>
      </c>
      <c r="AU21">
        <v>30</v>
      </c>
      <c r="AV21">
        <v>30</v>
      </c>
      <c r="AW21">
        <v>1</v>
      </c>
      <c r="AX21">
        <f t="shared" si="0"/>
        <v>180</v>
      </c>
      <c r="AY21">
        <v>6</v>
      </c>
      <c r="AZ21">
        <f t="shared" si="1"/>
        <v>1080</v>
      </c>
      <c r="BA21">
        <f t="shared" si="2"/>
        <v>48</v>
      </c>
      <c r="BB21">
        <f t="shared" si="19"/>
        <v>8640</v>
      </c>
      <c r="BC21">
        <f t="shared" si="12"/>
        <v>86400</v>
      </c>
      <c r="BD21">
        <f t="shared" si="25"/>
        <v>20</v>
      </c>
      <c r="BE21">
        <f t="shared" si="25"/>
        <v>40</v>
      </c>
      <c r="BF21">
        <f t="shared" si="25"/>
        <v>15</v>
      </c>
      <c r="BG21">
        <f t="shared" si="25"/>
        <v>15</v>
      </c>
      <c r="BH21">
        <f t="shared" si="25"/>
        <v>10</v>
      </c>
      <c r="BI21">
        <f t="shared" si="25"/>
        <v>5</v>
      </c>
      <c r="BJ21">
        <f t="shared" si="25"/>
        <v>15</v>
      </c>
      <c r="BK21">
        <v>30</v>
      </c>
      <c r="BL21">
        <v>30</v>
      </c>
      <c r="BO21">
        <v>1</v>
      </c>
      <c r="BP21">
        <f t="shared" si="13"/>
        <v>90</v>
      </c>
      <c r="BQ21">
        <v>6</v>
      </c>
      <c r="BR21">
        <f t="shared" si="4"/>
        <v>540</v>
      </c>
      <c r="BS21">
        <f t="shared" si="5"/>
        <v>48</v>
      </c>
      <c r="BT21">
        <f t="shared" si="20"/>
        <v>4320</v>
      </c>
      <c r="BU21">
        <f t="shared" si="14"/>
        <v>43200</v>
      </c>
      <c r="BV21" s="1">
        <v>40</v>
      </c>
      <c r="BW21" s="1">
        <v>80</v>
      </c>
      <c r="BX21" s="1">
        <v>30</v>
      </c>
      <c r="BY21" s="1">
        <v>30</v>
      </c>
      <c r="BZ21">
        <v>10</v>
      </c>
      <c r="CA21">
        <v>10</v>
      </c>
      <c r="CB21">
        <v>30</v>
      </c>
      <c r="CC21">
        <v>30</v>
      </c>
      <c r="CD21">
        <v>30</v>
      </c>
      <c r="CG21">
        <v>1</v>
      </c>
      <c r="CH21">
        <f t="shared" si="15"/>
        <v>180</v>
      </c>
      <c r="CI21">
        <v>6</v>
      </c>
      <c r="CJ21">
        <f t="shared" si="23"/>
        <v>60</v>
      </c>
      <c r="CK21">
        <f t="shared" si="7"/>
        <v>48</v>
      </c>
      <c r="CL21">
        <f t="shared" si="21"/>
        <v>8640</v>
      </c>
      <c r="CM21">
        <f t="shared" si="16"/>
        <v>86400</v>
      </c>
      <c r="CN21">
        <f t="shared" si="8"/>
        <v>20</v>
      </c>
      <c r="CO21">
        <f t="shared" si="8"/>
        <v>40</v>
      </c>
      <c r="CP21">
        <f t="shared" si="8"/>
        <v>15</v>
      </c>
      <c r="CQ21">
        <f t="shared" si="8"/>
        <v>15</v>
      </c>
      <c r="CR21">
        <f t="shared" si="8"/>
        <v>10</v>
      </c>
      <c r="CS21">
        <f t="shared" si="8"/>
        <v>5</v>
      </c>
      <c r="CT21">
        <v>1</v>
      </c>
      <c r="CU21">
        <f t="shared" si="17"/>
        <v>90</v>
      </c>
      <c r="CV21">
        <v>6</v>
      </c>
      <c r="CW21">
        <f t="shared" si="24"/>
        <v>30</v>
      </c>
      <c r="CX21">
        <f t="shared" si="10"/>
        <v>48</v>
      </c>
      <c r="CY21">
        <f t="shared" si="22"/>
        <v>4320</v>
      </c>
      <c r="CZ21">
        <f t="shared" si="18"/>
        <v>43200</v>
      </c>
    </row>
    <row r="22" spans="1:104" x14ac:dyDescent="0.25">
      <c r="A22">
        <f t="shared" si="11"/>
        <v>4800</v>
      </c>
      <c r="B22" t="s">
        <v>260</v>
      </c>
      <c r="C22" t="s">
        <v>261</v>
      </c>
      <c r="D22" t="s">
        <v>262</v>
      </c>
      <c r="E22" t="s">
        <v>263</v>
      </c>
      <c r="F22" t="s">
        <v>264</v>
      </c>
      <c r="G22" t="s">
        <v>265</v>
      </c>
      <c r="H22" t="s">
        <v>266</v>
      </c>
      <c r="I22">
        <v>43650</v>
      </c>
      <c r="J22" t="s">
        <v>107</v>
      </c>
      <c r="K22" t="s">
        <v>267</v>
      </c>
      <c r="L22" t="s">
        <v>268</v>
      </c>
      <c r="M22" t="s">
        <v>269</v>
      </c>
      <c r="N22" t="s">
        <v>90</v>
      </c>
      <c r="O22" t="s">
        <v>111</v>
      </c>
      <c r="P22" t="s">
        <v>75</v>
      </c>
      <c r="Q22">
        <v>2</v>
      </c>
      <c r="T22">
        <v>0</v>
      </c>
      <c r="U22" t="s">
        <v>76</v>
      </c>
      <c r="V22" t="s">
        <v>77</v>
      </c>
      <c r="W22" t="s">
        <v>78</v>
      </c>
      <c r="X22">
        <v>1</v>
      </c>
      <c r="Y22">
        <v>1</v>
      </c>
      <c r="AB22">
        <v>1</v>
      </c>
      <c r="AC22">
        <v>42439</v>
      </c>
      <c r="AG22">
        <v>1</v>
      </c>
      <c r="AH22" t="s">
        <v>79</v>
      </c>
      <c r="AI22" s="1">
        <v>10</v>
      </c>
      <c r="AJ22" s="1">
        <v>60</v>
      </c>
      <c r="AK22" s="1">
        <v>20</v>
      </c>
      <c r="AL22" s="1">
        <v>10</v>
      </c>
      <c r="AM22">
        <v>20</v>
      </c>
      <c r="AN22">
        <v>10</v>
      </c>
      <c r="AO22">
        <v>10</v>
      </c>
      <c r="AP22">
        <v>10</v>
      </c>
      <c r="AQ22">
        <v>10</v>
      </c>
      <c r="AT22">
        <v>10</v>
      </c>
      <c r="AU22">
        <v>10</v>
      </c>
      <c r="AV22">
        <v>10</v>
      </c>
      <c r="AW22">
        <v>1</v>
      </c>
      <c r="AX22">
        <f t="shared" si="0"/>
        <v>100</v>
      </c>
      <c r="AY22">
        <v>6</v>
      </c>
      <c r="AZ22">
        <f t="shared" si="1"/>
        <v>600</v>
      </c>
      <c r="BA22">
        <f t="shared" si="2"/>
        <v>48</v>
      </c>
      <c r="BB22">
        <f t="shared" si="19"/>
        <v>4800</v>
      </c>
      <c r="BC22">
        <f t="shared" si="12"/>
        <v>48000</v>
      </c>
      <c r="BD22">
        <f t="shared" si="25"/>
        <v>5</v>
      </c>
      <c r="BE22">
        <f t="shared" si="25"/>
        <v>30</v>
      </c>
      <c r="BF22">
        <f t="shared" si="25"/>
        <v>10</v>
      </c>
      <c r="BG22">
        <f t="shared" si="25"/>
        <v>5</v>
      </c>
      <c r="BH22">
        <f t="shared" si="25"/>
        <v>10</v>
      </c>
      <c r="BI22">
        <f t="shared" si="25"/>
        <v>5</v>
      </c>
      <c r="BJ22">
        <f t="shared" si="25"/>
        <v>5</v>
      </c>
      <c r="BK22">
        <v>10</v>
      </c>
      <c r="BL22">
        <v>10</v>
      </c>
      <c r="BO22">
        <v>1</v>
      </c>
      <c r="BP22">
        <f t="shared" si="13"/>
        <v>50</v>
      </c>
      <c r="BQ22">
        <v>6</v>
      </c>
      <c r="BR22">
        <f t="shared" si="4"/>
        <v>300</v>
      </c>
      <c r="BS22">
        <f t="shared" si="5"/>
        <v>48</v>
      </c>
      <c r="BT22">
        <f t="shared" si="20"/>
        <v>2400</v>
      </c>
      <c r="BU22">
        <f t="shared" si="14"/>
        <v>24000</v>
      </c>
      <c r="BV22" s="1">
        <v>10</v>
      </c>
      <c r="BW22" s="1">
        <v>60</v>
      </c>
      <c r="BX22" s="1">
        <v>20</v>
      </c>
      <c r="BY22" s="1">
        <v>10</v>
      </c>
      <c r="BZ22">
        <v>10</v>
      </c>
      <c r="CA22">
        <v>10</v>
      </c>
      <c r="CB22">
        <v>10</v>
      </c>
      <c r="CC22">
        <v>10</v>
      </c>
      <c r="CD22">
        <v>10</v>
      </c>
      <c r="CG22">
        <v>1</v>
      </c>
      <c r="CH22">
        <f t="shared" si="15"/>
        <v>100</v>
      </c>
      <c r="CI22">
        <v>6</v>
      </c>
      <c r="CJ22">
        <f t="shared" si="23"/>
        <v>60</v>
      </c>
      <c r="CK22">
        <f t="shared" si="7"/>
        <v>48</v>
      </c>
      <c r="CL22">
        <f t="shared" si="21"/>
        <v>4800</v>
      </c>
      <c r="CM22">
        <f t="shared" si="16"/>
        <v>48000</v>
      </c>
      <c r="CN22">
        <f t="shared" si="8"/>
        <v>5</v>
      </c>
      <c r="CO22">
        <f t="shared" si="8"/>
        <v>30</v>
      </c>
      <c r="CP22">
        <f t="shared" si="8"/>
        <v>10</v>
      </c>
      <c r="CQ22">
        <f t="shared" si="8"/>
        <v>5</v>
      </c>
      <c r="CR22">
        <f t="shared" si="8"/>
        <v>10</v>
      </c>
      <c r="CS22">
        <f t="shared" si="8"/>
        <v>5</v>
      </c>
      <c r="CT22">
        <v>1</v>
      </c>
      <c r="CU22">
        <f t="shared" si="17"/>
        <v>50</v>
      </c>
      <c r="CV22">
        <v>6</v>
      </c>
      <c r="CW22">
        <f t="shared" si="24"/>
        <v>30</v>
      </c>
      <c r="CX22">
        <f t="shared" si="10"/>
        <v>48</v>
      </c>
      <c r="CY22">
        <f t="shared" si="22"/>
        <v>2400</v>
      </c>
      <c r="CZ22">
        <f t="shared" si="18"/>
        <v>24000</v>
      </c>
    </row>
    <row r="23" spans="1:104" x14ac:dyDescent="0.25">
      <c r="A23">
        <f t="shared" si="11"/>
        <v>5280</v>
      </c>
      <c r="B23" t="s">
        <v>270</v>
      </c>
      <c r="C23" t="s">
        <v>271</v>
      </c>
      <c r="D23" t="s">
        <v>272</v>
      </c>
      <c r="E23" t="s">
        <v>273</v>
      </c>
      <c r="F23" t="s">
        <v>274</v>
      </c>
      <c r="G23" t="s">
        <v>275</v>
      </c>
      <c r="H23" t="s">
        <v>276</v>
      </c>
      <c r="I23">
        <v>8000</v>
      </c>
      <c r="J23" t="s">
        <v>107</v>
      </c>
      <c r="K23" t="s">
        <v>277</v>
      </c>
      <c r="L23" t="s">
        <v>278</v>
      </c>
      <c r="M23" t="s">
        <v>279</v>
      </c>
      <c r="N23" t="s">
        <v>90</v>
      </c>
      <c r="O23" t="s">
        <v>111</v>
      </c>
      <c r="P23" t="s">
        <v>75</v>
      </c>
      <c r="Q23">
        <v>1.75</v>
      </c>
      <c r="T23">
        <v>0</v>
      </c>
      <c r="U23" t="s">
        <v>76</v>
      </c>
      <c r="V23" t="s">
        <v>77</v>
      </c>
      <c r="W23" t="s">
        <v>78</v>
      </c>
      <c r="X23">
        <v>1</v>
      </c>
      <c r="Y23">
        <v>1</v>
      </c>
      <c r="AB23">
        <v>1</v>
      </c>
      <c r="AC23">
        <v>42439</v>
      </c>
      <c r="AG23">
        <v>1</v>
      </c>
      <c r="AH23" t="s">
        <v>79</v>
      </c>
      <c r="AI23" s="1">
        <v>20</v>
      </c>
      <c r="AJ23" s="1">
        <v>60</v>
      </c>
      <c r="AK23" s="1">
        <v>20</v>
      </c>
      <c r="AL23" s="1">
        <v>10</v>
      </c>
      <c r="AM23">
        <v>20</v>
      </c>
      <c r="AN23">
        <v>10</v>
      </c>
      <c r="AO23">
        <v>10</v>
      </c>
      <c r="AP23">
        <v>10</v>
      </c>
      <c r="AQ23">
        <v>10</v>
      </c>
      <c r="AT23">
        <v>10</v>
      </c>
      <c r="AU23">
        <v>10</v>
      </c>
      <c r="AV23">
        <v>10</v>
      </c>
      <c r="AW23">
        <v>1</v>
      </c>
      <c r="AX23">
        <f t="shared" si="0"/>
        <v>110</v>
      </c>
      <c r="AY23">
        <v>6</v>
      </c>
      <c r="AZ23">
        <f t="shared" si="1"/>
        <v>660</v>
      </c>
      <c r="BA23">
        <f t="shared" si="2"/>
        <v>48</v>
      </c>
      <c r="BB23">
        <f t="shared" si="19"/>
        <v>5280</v>
      </c>
      <c r="BC23">
        <f t="shared" si="12"/>
        <v>52800</v>
      </c>
      <c r="BD23">
        <f t="shared" si="25"/>
        <v>10</v>
      </c>
      <c r="BE23">
        <f t="shared" si="25"/>
        <v>30</v>
      </c>
      <c r="BF23">
        <f t="shared" si="25"/>
        <v>10</v>
      </c>
      <c r="BG23">
        <f t="shared" si="25"/>
        <v>5</v>
      </c>
      <c r="BH23">
        <f t="shared" si="25"/>
        <v>10</v>
      </c>
      <c r="BI23">
        <f t="shared" si="25"/>
        <v>5</v>
      </c>
      <c r="BJ23">
        <f t="shared" si="25"/>
        <v>5</v>
      </c>
      <c r="BK23">
        <v>10</v>
      </c>
      <c r="BL23">
        <v>10</v>
      </c>
      <c r="BO23">
        <v>1</v>
      </c>
      <c r="BP23">
        <f t="shared" si="13"/>
        <v>55</v>
      </c>
      <c r="BQ23">
        <v>6</v>
      </c>
      <c r="BR23">
        <f t="shared" si="4"/>
        <v>330</v>
      </c>
      <c r="BS23">
        <f t="shared" si="5"/>
        <v>48</v>
      </c>
      <c r="BT23">
        <f t="shared" si="20"/>
        <v>2640</v>
      </c>
      <c r="BU23">
        <f t="shared" si="14"/>
        <v>26400</v>
      </c>
      <c r="BV23" s="1">
        <v>20</v>
      </c>
      <c r="BW23" s="1">
        <v>60</v>
      </c>
      <c r="BX23" s="1">
        <v>20</v>
      </c>
      <c r="BY23" s="1">
        <v>10</v>
      </c>
      <c r="BZ23">
        <v>10</v>
      </c>
      <c r="CA23">
        <v>10</v>
      </c>
      <c r="CB23">
        <v>10</v>
      </c>
      <c r="CC23">
        <v>10</v>
      </c>
      <c r="CD23">
        <v>10</v>
      </c>
      <c r="CG23">
        <v>1</v>
      </c>
      <c r="CH23">
        <f t="shared" si="15"/>
        <v>110</v>
      </c>
      <c r="CI23">
        <v>6</v>
      </c>
      <c r="CJ23">
        <f t="shared" si="23"/>
        <v>60</v>
      </c>
      <c r="CK23">
        <f t="shared" si="7"/>
        <v>48</v>
      </c>
      <c r="CL23">
        <f t="shared" si="21"/>
        <v>5280</v>
      </c>
      <c r="CM23">
        <f t="shared" si="16"/>
        <v>52800</v>
      </c>
      <c r="CN23">
        <f t="shared" si="8"/>
        <v>10</v>
      </c>
      <c r="CO23">
        <f t="shared" si="8"/>
        <v>30</v>
      </c>
      <c r="CP23">
        <f t="shared" si="8"/>
        <v>10</v>
      </c>
      <c r="CQ23">
        <f t="shared" si="8"/>
        <v>5</v>
      </c>
      <c r="CR23">
        <f t="shared" si="8"/>
        <v>10</v>
      </c>
      <c r="CS23">
        <f t="shared" si="8"/>
        <v>5</v>
      </c>
      <c r="CT23">
        <v>1</v>
      </c>
      <c r="CU23">
        <f t="shared" si="17"/>
        <v>55</v>
      </c>
      <c r="CV23">
        <v>6</v>
      </c>
      <c r="CW23">
        <f t="shared" si="24"/>
        <v>30</v>
      </c>
      <c r="CX23">
        <f t="shared" si="10"/>
        <v>48</v>
      </c>
      <c r="CY23">
        <f t="shared" si="22"/>
        <v>2640</v>
      </c>
      <c r="CZ23">
        <f t="shared" si="18"/>
        <v>26400</v>
      </c>
    </row>
    <row r="24" spans="1:104" x14ac:dyDescent="0.25">
      <c r="A24">
        <f t="shared" si="11"/>
        <v>5280</v>
      </c>
      <c r="B24" t="s">
        <v>280</v>
      </c>
      <c r="C24" t="s">
        <v>281</v>
      </c>
      <c r="D24" t="s">
        <v>282</v>
      </c>
      <c r="E24" t="s">
        <v>283</v>
      </c>
      <c r="F24" t="s">
        <v>284</v>
      </c>
      <c r="G24" t="s">
        <v>285</v>
      </c>
      <c r="H24" t="s">
        <v>286</v>
      </c>
      <c r="I24">
        <v>11620</v>
      </c>
      <c r="J24" t="s">
        <v>287</v>
      </c>
      <c r="K24" t="s">
        <v>288</v>
      </c>
      <c r="L24" t="s">
        <v>289</v>
      </c>
      <c r="M24" t="s">
        <v>290</v>
      </c>
      <c r="N24" t="s">
        <v>90</v>
      </c>
      <c r="O24" t="s">
        <v>111</v>
      </c>
      <c r="P24" t="s">
        <v>291</v>
      </c>
      <c r="Q24">
        <v>1.75</v>
      </c>
      <c r="T24">
        <v>0</v>
      </c>
      <c r="U24" t="s">
        <v>76</v>
      </c>
      <c r="V24" t="s">
        <v>292</v>
      </c>
      <c r="W24" t="s">
        <v>292</v>
      </c>
      <c r="X24">
        <v>1</v>
      </c>
      <c r="Y24">
        <v>1</v>
      </c>
      <c r="AB24">
        <v>1</v>
      </c>
      <c r="AC24">
        <v>42439</v>
      </c>
      <c r="AG24">
        <v>1</v>
      </c>
      <c r="AH24" t="s">
        <v>79</v>
      </c>
      <c r="AI24" s="1">
        <v>20</v>
      </c>
      <c r="AJ24" s="1">
        <v>30</v>
      </c>
      <c r="AK24" s="1">
        <v>30</v>
      </c>
      <c r="AL24" s="1">
        <v>30</v>
      </c>
      <c r="AM24">
        <v>20</v>
      </c>
      <c r="AN24">
        <v>10</v>
      </c>
      <c r="AO24">
        <v>30</v>
      </c>
      <c r="AP24">
        <v>30</v>
      </c>
      <c r="AQ24">
        <v>30</v>
      </c>
      <c r="AT24">
        <v>30</v>
      </c>
      <c r="AU24">
        <v>30</v>
      </c>
      <c r="AV24">
        <v>30</v>
      </c>
      <c r="AW24">
        <v>1</v>
      </c>
      <c r="AX24">
        <f t="shared" si="0"/>
        <v>110</v>
      </c>
      <c r="AY24">
        <v>6</v>
      </c>
      <c r="AZ24">
        <f t="shared" si="1"/>
        <v>660</v>
      </c>
      <c r="BA24">
        <f t="shared" si="2"/>
        <v>48</v>
      </c>
      <c r="BB24">
        <f t="shared" si="19"/>
        <v>5280</v>
      </c>
      <c r="BC24">
        <f t="shared" si="12"/>
        <v>52800</v>
      </c>
      <c r="BD24">
        <f t="shared" si="25"/>
        <v>10</v>
      </c>
      <c r="BE24">
        <f t="shared" si="25"/>
        <v>15</v>
      </c>
      <c r="BF24">
        <f t="shared" si="25"/>
        <v>15</v>
      </c>
      <c r="BG24">
        <f t="shared" si="25"/>
        <v>15</v>
      </c>
      <c r="BH24">
        <f t="shared" si="25"/>
        <v>10</v>
      </c>
      <c r="BI24">
        <f t="shared" si="25"/>
        <v>5</v>
      </c>
      <c r="BJ24">
        <f t="shared" si="25"/>
        <v>15</v>
      </c>
      <c r="BK24">
        <v>30</v>
      </c>
      <c r="BL24">
        <v>30</v>
      </c>
      <c r="BO24">
        <v>1</v>
      </c>
      <c r="BP24">
        <f t="shared" si="13"/>
        <v>55</v>
      </c>
      <c r="BQ24">
        <v>6</v>
      </c>
      <c r="BR24">
        <f t="shared" si="4"/>
        <v>330</v>
      </c>
      <c r="BS24">
        <f t="shared" si="5"/>
        <v>48</v>
      </c>
      <c r="BT24">
        <f t="shared" si="20"/>
        <v>2640</v>
      </c>
      <c r="BU24">
        <f t="shared" si="14"/>
        <v>26400</v>
      </c>
      <c r="BV24" s="1">
        <v>20</v>
      </c>
      <c r="BW24" s="1">
        <v>30</v>
      </c>
      <c r="BX24" s="1">
        <v>30</v>
      </c>
      <c r="BY24" s="1">
        <v>30</v>
      </c>
      <c r="BZ24">
        <v>10</v>
      </c>
      <c r="CA24">
        <v>10</v>
      </c>
      <c r="CB24">
        <v>30</v>
      </c>
      <c r="CC24">
        <v>30</v>
      </c>
      <c r="CD24">
        <v>30</v>
      </c>
      <c r="CG24">
        <v>1</v>
      </c>
      <c r="CH24">
        <f t="shared" si="15"/>
        <v>110</v>
      </c>
      <c r="CI24">
        <v>6</v>
      </c>
      <c r="CJ24">
        <f t="shared" si="23"/>
        <v>60</v>
      </c>
      <c r="CK24">
        <f t="shared" si="7"/>
        <v>48</v>
      </c>
      <c r="CL24">
        <f t="shared" si="21"/>
        <v>5280</v>
      </c>
      <c r="CM24">
        <f t="shared" si="16"/>
        <v>52800</v>
      </c>
      <c r="CN24">
        <f t="shared" si="8"/>
        <v>10</v>
      </c>
      <c r="CO24">
        <f t="shared" si="8"/>
        <v>15</v>
      </c>
      <c r="CP24">
        <f t="shared" si="8"/>
        <v>15</v>
      </c>
      <c r="CQ24">
        <f t="shared" si="8"/>
        <v>15</v>
      </c>
      <c r="CR24">
        <f t="shared" si="8"/>
        <v>10</v>
      </c>
      <c r="CS24">
        <f t="shared" si="8"/>
        <v>5</v>
      </c>
      <c r="CT24">
        <v>1</v>
      </c>
      <c r="CU24">
        <f t="shared" si="17"/>
        <v>55</v>
      </c>
      <c r="CV24">
        <v>6</v>
      </c>
      <c r="CW24">
        <f t="shared" si="24"/>
        <v>30</v>
      </c>
      <c r="CX24">
        <f t="shared" si="10"/>
        <v>48</v>
      </c>
      <c r="CY24">
        <f t="shared" si="22"/>
        <v>2640</v>
      </c>
      <c r="CZ24">
        <f t="shared" si="18"/>
        <v>26400</v>
      </c>
    </row>
    <row r="25" spans="1:104" x14ac:dyDescent="0.25">
      <c r="A25">
        <f t="shared" si="11"/>
        <v>2400</v>
      </c>
      <c r="B25" t="s">
        <v>293</v>
      </c>
      <c r="C25" t="s">
        <v>294</v>
      </c>
      <c r="D25" t="s">
        <v>295</v>
      </c>
      <c r="E25" t="s">
        <v>242</v>
      </c>
      <c r="F25" t="s">
        <v>243</v>
      </c>
      <c r="G25" t="s">
        <v>244</v>
      </c>
      <c r="H25" t="s">
        <v>118</v>
      </c>
      <c r="I25">
        <v>48050</v>
      </c>
      <c r="J25" t="s">
        <v>107</v>
      </c>
      <c r="K25" t="s">
        <v>245</v>
      </c>
      <c r="L25" t="s">
        <v>246</v>
      </c>
      <c r="M25" t="s">
        <v>247</v>
      </c>
      <c r="N25" t="s">
        <v>90</v>
      </c>
      <c r="O25" t="s">
        <v>111</v>
      </c>
      <c r="P25" t="s">
        <v>75</v>
      </c>
      <c r="Q25">
        <v>2</v>
      </c>
      <c r="T25">
        <v>0</v>
      </c>
      <c r="U25" t="s">
        <v>76</v>
      </c>
      <c r="V25" t="s">
        <v>77</v>
      </c>
      <c r="W25" t="s">
        <v>78</v>
      </c>
      <c r="X25">
        <v>1</v>
      </c>
      <c r="Y25">
        <v>1</v>
      </c>
      <c r="AB25">
        <v>1</v>
      </c>
      <c r="AC25">
        <v>42439</v>
      </c>
      <c r="AE25" t="s">
        <v>248</v>
      </c>
      <c r="AF25" t="s">
        <v>249</v>
      </c>
      <c r="AG25">
        <v>1</v>
      </c>
      <c r="AH25" t="s">
        <v>79</v>
      </c>
      <c r="AI25" s="1">
        <v>10</v>
      </c>
      <c r="AJ25" s="1">
        <v>20</v>
      </c>
      <c r="AK25" s="1">
        <v>10</v>
      </c>
      <c r="AL25" s="1">
        <v>10</v>
      </c>
      <c r="AM25">
        <v>10</v>
      </c>
      <c r="AN25">
        <v>10</v>
      </c>
      <c r="AO25">
        <v>10</v>
      </c>
      <c r="AP25">
        <v>10</v>
      </c>
      <c r="AQ25">
        <v>10</v>
      </c>
      <c r="AS25">
        <v>10</v>
      </c>
      <c r="AT25">
        <v>10</v>
      </c>
      <c r="AU25">
        <v>10</v>
      </c>
      <c r="AV25">
        <v>10</v>
      </c>
      <c r="AW25">
        <v>1</v>
      </c>
      <c r="AX25">
        <f t="shared" si="0"/>
        <v>50</v>
      </c>
      <c r="AY25">
        <v>6</v>
      </c>
      <c r="AZ25">
        <f t="shared" si="1"/>
        <v>300</v>
      </c>
      <c r="BA25">
        <f t="shared" si="2"/>
        <v>48</v>
      </c>
      <c r="BB25">
        <f t="shared" si="19"/>
        <v>2400</v>
      </c>
      <c r="BC25">
        <f t="shared" si="12"/>
        <v>24000</v>
      </c>
      <c r="BD25">
        <f t="shared" si="25"/>
        <v>5</v>
      </c>
      <c r="BE25">
        <f t="shared" si="25"/>
        <v>10</v>
      </c>
      <c r="BF25">
        <f t="shared" si="25"/>
        <v>5</v>
      </c>
      <c r="BG25">
        <f t="shared" si="25"/>
        <v>5</v>
      </c>
      <c r="BH25">
        <f t="shared" si="25"/>
        <v>5</v>
      </c>
      <c r="BI25">
        <f t="shared" si="25"/>
        <v>5</v>
      </c>
      <c r="BJ25">
        <f t="shared" si="25"/>
        <v>5</v>
      </c>
      <c r="BK25">
        <v>10</v>
      </c>
      <c r="BL25">
        <v>10</v>
      </c>
      <c r="BM25">
        <f>MROUND(AR25/2,5)</f>
        <v>0</v>
      </c>
      <c r="BN25">
        <f>MROUND(AS25/2,5)</f>
        <v>5</v>
      </c>
      <c r="BO25">
        <v>1</v>
      </c>
      <c r="BP25">
        <f t="shared" si="13"/>
        <v>25</v>
      </c>
      <c r="BQ25">
        <v>6</v>
      </c>
      <c r="BR25">
        <f t="shared" si="4"/>
        <v>150</v>
      </c>
      <c r="BS25">
        <f t="shared" si="5"/>
        <v>48</v>
      </c>
      <c r="BT25">
        <f t="shared" si="20"/>
        <v>1200</v>
      </c>
      <c r="BU25">
        <f t="shared" si="14"/>
        <v>12000</v>
      </c>
      <c r="BV25" s="1">
        <v>10</v>
      </c>
      <c r="BW25" s="1">
        <v>20</v>
      </c>
      <c r="BX25" s="1">
        <v>10</v>
      </c>
      <c r="BY25" s="1">
        <v>10</v>
      </c>
      <c r="BZ25">
        <v>5</v>
      </c>
      <c r="CA25">
        <v>5</v>
      </c>
      <c r="CB25">
        <v>10</v>
      </c>
      <c r="CC25">
        <v>10</v>
      </c>
      <c r="CD25">
        <v>10</v>
      </c>
      <c r="CF25">
        <v>10</v>
      </c>
      <c r="CG25">
        <v>1</v>
      </c>
      <c r="CH25">
        <f t="shared" si="15"/>
        <v>50</v>
      </c>
      <c r="CI25">
        <v>6</v>
      </c>
      <c r="CJ25">
        <f t="shared" si="23"/>
        <v>30</v>
      </c>
      <c r="CK25">
        <f t="shared" si="7"/>
        <v>48</v>
      </c>
      <c r="CL25">
        <f t="shared" si="21"/>
        <v>2400</v>
      </c>
      <c r="CM25">
        <f t="shared" si="16"/>
        <v>24000</v>
      </c>
      <c r="CN25">
        <f t="shared" si="8"/>
        <v>5</v>
      </c>
      <c r="CO25">
        <f t="shared" si="8"/>
        <v>10</v>
      </c>
      <c r="CP25">
        <f t="shared" si="8"/>
        <v>5</v>
      </c>
      <c r="CQ25">
        <f t="shared" si="8"/>
        <v>5</v>
      </c>
      <c r="CR25">
        <f t="shared" si="8"/>
        <v>5</v>
      </c>
      <c r="CS25">
        <f t="shared" si="8"/>
        <v>5</v>
      </c>
      <c r="CT25">
        <v>1</v>
      </c>
      <c r="CU25">
        <f t="shared" si="17"/>
        <v>25</v>
      </c>
      <c r="CV25">
        <v>6</v>
      </c>
      <c r="CW25">
        <f t="shared" si="24"/>
        <v>30</v>
      </c>
      <c r="CX25">
        <f t="shared" si="10"/>
        <v>48</v>
      </c>
      <c r="CY25">
        <f t="shared" si="22"/>
        <v>1200</v>
      </c>
      <c r="CZ25">
        <f t="shared" si="18"/>
        <v>12000</v>
      </c>
    </row>
    <row r="26" spans="1:104" x14ac:dyDescent="0.25">
      <c r="A26">
        <f t="shared" si="11"/>
        <v>3360</v>
      </c>
      <c r="B26" t="s">
        <v>296</v>
      </c>
      <c r="C26" t="s">
        <v>297</v>
      </c>
      <c r="D26" t="s">
        <v>298</v>
      </c>
      <c r="E26" t="s">
        <v>242</v>
      </c>
      <c r="F26" t="s">
        <v>243</v>
      </c>
      <c r="G26" t="s">
        <v>244</v>
      </c>
      <c r="H26" t="s">
        <v>118</v>
      </c>
      <c r="I26">
        <v>48050</v>
      </c>
      <c r="J26" t="s">
        <v>107</v>
      </c>
      <c r="K26" t="s">
        <v>245</v>
      </c>
      <c r="L26" t="s">
        <v>246</v>
      </c>
      <c r="M26" t="s">
        <v>247</v>
      </c>
      <c r="N26" t="s">
        <v>90</v>
      </c>
      <c r="O26" t="s">
        <v>111</v>
      </c>
      <c r="P26" t="s">
        <v>75</v>
      </c>
      <c r="Q26">
        <v>2</v>
      </c>
      <c r="T26">
        <v>0</v>
      </c>
      <c r="U26" t="s">
        <v>76</v>
      </c>
      <c r="V26" t="s">
        <v>77</v>
      </c>
      <c r="W26" t="s">
        <v>78</v>
      </c>
      <c r="X26">
        <v>1</v>
      </c>
      <c r="Y26">
        <v>1</v>
      </c>
      <c r="AB26">
        <v>1</v>
      </c>
      <c r="AC26">
        <v>42439</v>
      </c>
      <c r="AE26" t="s">
        <v>248</v>
      </c>
      <c r="AF26" t="s">
        <v>249</v>
      </c>
      <c r="AG26">
        <v>1</v>
      </c>
      <c r="AH26" t="s">
        <v>79</v>
      </c>
      <c r="AI26" s="1">
        <v>10</v>
      </c>
      <c r="AJ26" s="1">
        <v>30</v>
      </c>
      <c r="AK26" s="1">
        <v>20</v>
      </c>
      <c r="AL26" s="1">
        <v>10</v>
      </c>
      <c r="AM26">
        <v>10</v>
      </c>
      <c r="AN26">
        <v>10</v>
      </c>
      <c r="AO26">
        <v>10</v>
      </c>
      <c r="AP26">
        <v>10</v>
      </c>
      <c r="AQ26">
        <v>10</v>
      </c>
      <c r="AS26">
        <v>20</v>
      </c>
      <c r="AT26">
        <v>10</v>
      </c>
      <c r="AU26">
        <v>10</v>
      </c>
      <c r="AV26">
        <v>10</v>
      </c>
      <c r="AW26">
        <v>1</v>
      </c>
      <c r="AX26">
        <f t="shared" si="0"/>
        <v>70</v>
      </c>
      <c r="AY26">
        <v>6</v>
      </c>
      <c r="AZ26">
        <f t="shared" si="1"/>
        <v>420</v>
      </c>
      <c r="BA26">
        <f t="shared" si="2"/>
        <v>48</v>
      </c>
      <c r="BB26">
        <f t="shared" si="19"/>
        <v>3360</v>
      </c>
      <c r="BC26">
        <f t="shared" si="12"/>
        <v>33600</v>
      </c>
      <c r="BD26">
        <f t="shared" si="25"/>
        <v>5</v>
      </c>
      <c r="BE26">
        <f t="shared" si="25"/>
        <v>15</v>
      </c>
      <c r="BF26">
        <f t="shared" si="25"/>
        <v>10</v>
      </c>
      <c r="BG26">
        <f t="shared" si="25"/>
        <v>5</v>
      </c>
      <c r="BH26">
        <f t="shared" si="25"/>
        <v>5</v>
      </c>
      <c r="BI26">
        <f t="shared" si="25"/>
        <v>5</v>
      </c>
      <c r="BJ26">
        <f t="shared" si="25"/>
        <v>5</v>
      </c>
      <c r="BK26">
        <v>10</v>
      </c>
      <c r="BL26">
        <v>10</v>
      </c>
      <c r="BM26">
        <f t="shared" ref="BM26:BN32" si="26">MROUND(AR26/2,5)</f>
        <v>0</v>
      </c>
      <c r="BN26">
        <f t="shared" si="26"/>
        <v>10</v>
      </c>
      <c r="BO26">
        <v>1</v>
      </c>
      <c r="BP26">
        <f t="shared" si="13"/>
        <v>35</v>
      </c>
      <c r="BQ26">
        <v>6</v>
      </c>
      <c r="BR26">
        <f t="shared" si="4"/>
        <v>210</v>
      </c>
      <c r="BS26">
        <f t="shared" si="5"/>
        <v>48</v>
      </c>
      <c r="BT26">
        <f t="shared" si="20"/>
        <v>1680</v>
      </c>
      <c r="BU26">
        <f t="shared" si="14"/>
        <v>16800</v>
      </c>
      <c r="BV26" s="1">
        <v>10</v>
      </c>
      <c r="BW26" s="1">
        <v>30</v>
      </c>
      <c r="BX26" s="1">
        <v>20</v>
      </c>
      <c r="BY26" s="1">
        <v>10</v>
      </c>
      <c r="BZ26">
        <v>5</v>
      </c>
      <c r="CA26">
        <v>5</v>
      </c>
      <c r="CB26">
        <v>10</v>
      </c>
      <c r="CC26">
        <v>10</v>
      </c>
      <c r="CD26">
        <v>10</v>
      </c>
      <c r="CF26">
        <v>20</v>
      </c>
      <c r="CG26">
        <v>1</v>
      </c>
      <c r="CH26">
        <f t="shared" si="15"/>
        <v>70</v>
      </c>
      <c r="CI26">
        <v>6</v>
      </c>
      <c r="CJ26">
        <f t="shared" si="23"/>
        <v>30</v>
      </c>
      <c r="CK26">
        <f t="shared" si="7"/>
        <v>48</v>
      </c>
      <c r="CL26">
        <f t="shared" si="21"/>
        <v>3360</v>
      </c>
      <c r="CM26">
        <f t="shared" si="16"/>
        <v>33600</v>
      </c>
      <c r="CN26">
        <f t="shared" si="8"/>
        <v>5</v>
      </c>
      <c r="CO26">
        <f t="shared" si="8"/>
        <v>15</v>
      </c>
      <c r="CP26">
        <f t="shared" si="8"/>
        <v>10</v>
      </c>
      <c r="CQ26">
        <f t="shared" si="8"/>
        <v>5</v>
      </c>
      <c r="CR26">
        <f t="shared" si="8"/>
        <v>5</v>
      </c>
      <c r="CS26">
        <f t="shared" si="8"/>
        <v>5</v>
      </c>
      <c r="CT26">
        <v>1</v>
      </c>
      <c r="CU26">
        <f t="shared" si="17"/>
        <v>35</v>
      </c>
      <c r="CV26">
        <v>6</v>
      </c>
      <c r="CW26">
        <f t="shared" si="24"/>
        <v>30</v>
      </c>
      <c r="CX26">
        <f t="shared" si="10"/>
        <v>48</v>
      </c>
      <c r="CY26">
        <f t="shared" si="22"/>
        <v>1680</v>
      </c>
      <c r="CZ26">
        <f t="shared" si="18"/>
        <v>16800</v>
      </c>
    </row>
    <row r="27" spans="1:104" x14ac:dyDescent="0.25">
      <c r="A27">
        <f t="shared" si="11"/>
        <v>2880</v>
      </c>
      <c r="B27" t="s">
        <v>299</v>
      </c>
      <c r="C27" t="s">
        <v>300</v>
      </c>
      <c r="D27" t="s">
        <v>301</v>
      </c>
      <c r="E27" t="s">
        <v>242</v>
      </c>
      <c r="F27" t="s">
        <v>243</v>
      </c>
      <c r="G27" t="s">
        <v>244</v>
      </c>
      <c r="H27" t="s">
        <v>118</v>
      </c>
      <c r="I27">
        <v>48050</v>
      </c>
      <c r="J27" t="s">
        <v>107</v>
      </c>
      <c r="K27" t="s">
        <v>245</v>
      </c>
      <c r="L27" t="s">
        <v>246</v>
      </c>
      <c r="M27" t="s">
        <v>247</v>
      </c>
      <c r="N27" t="s">
        <v>90</v>
      </c>
      <c r="O27" t="s">
        <v>111</v>
      </c>
      <c r="P27" t="s">
        <v>75</v>
      </c>
      <c r="Q27">
        <v>2</v>
      </c>
      <c r="T27">
        <v>0</v>
      </c>
      <c r="U27" t="s">
        <v>76</v>
      </c>
      <c r="V27" t="s">
        <v>77</v>
      </c>
      <c r="W27" t="s">
        <v>78</v>
      </c>
      <c r="X27">
        <v>1</v>
      </c>
      <c r="Y27">
        <v>1</v>
      </c>
      <c r="AB27">
        <v>1</v>
      </c>
      <c r="AC27">
        <v>42439</v>
      </c>
      <c r="AE27" t="s">
        <v>248</v>
      </c>
      <c r="AF27" t="s">
        <v>249</v>
      </c>
      <c r="AG27">
        <v>1</v>
      </c>
      <c r="AH27" t="s">
        <v>79</v>
      </c>
      <c r="AI27" s="1">
        <v>10</v>
      </c>
      <c r="AJ27" s="1">
        <v>30</v>
      </c>
      <c r="AK27" s="1">
        <v>10</v>
      </c>
      <c r="AL27" s="1">
        <v>10</v>
      </c>
      <c r="AM27">
        <v>10</v>
      </c>
      <c r="AN27">
        <v>10</v>
      </c>
      <c r="AO27">
        <v>10</v>
      </c>
      <c r="AP27">
        <v>10</v>
      </c>
      <c r="AQ27">
        <v>10</v>
      </c>
      <c r="AS27">
        <v>20</v>
      </c>
      <c r="AT27">
        <v>10</v>
      </c>
      <c r="AU27">
        <v>10</v>
      </c>
      <c r="AV27">
        <v>10</v>
      </c>
      <c r="AW27">
        <v>1</v>
      </c>
      <c r="AX27">
        <f t="shared" si="0"/>
        <v>60</v>
      </c>
      <c r="AY27">
        <v>6</v>
      </c>
      <c r="AZ27">
        <f t="shared" si="1"/>
        <v>360</v>
      </c>
      <c r="BA27">
        <f t="shared" si="2"/>
        <v>48</v>
      </c>
      <c r="BB27">
        <f t="shared" si="19"/>
        <v>2880</v>
      </c>
      <c r="BC27">
        <f t="shared" si="12"/>
        <v>28800</v>
      </c>
      <c r="BD27">
        <f t="shared" si="25"/>
        <v>5</v>
      </c>
      <c r="BE27">
        <f t="shared" si="25"/>
        <v>15</v>
      </c>
      <c r="BF27">
        <f t="shared" si="25"/>
        <v>5</v>
      </c>
      <c r="BG27">
        <f t="shared" si="25"/>
        <v>5</v>
      </c>
      <c r="BH27">
        <f t="shared" si="25"/>
        <v>5</v>
      </c>
      <c r="BI27">
        <f t="shared" si="25"/>
        <v>5</v>
      </c>
      <c r="BJ27">
        <f t="shared" si="25"/>
        <v>5</v>
      </c>
      <c r="BK27">
        <v>10</v>
      </c>
      <c r="BL27">
        <v>10</v>
      </c>
      <c r="BM27">
        <f t="shared" si="26"/>
        <v>0</v>
      </c>
      <c r="BN27">
        <f t="shared" si="26"/>
        <v>10</v>
      </c>
      <c r="BO27">
        <v>1</v>
      </c>
      <c r="BP27">
        <f t="shared" si="13"/>
        <v>30</v>
      </c>
      <c r="BQ27">
        <v>6</v>
      </c>
      <c r="BR27">
        <f t="shared" si="4"/>
        <v>180</v>
      </c>
      <c r="BS27">
        <f t="shared" si="5"/>
        <v>48</v>
      </c>
      <c r="BT27">
        <f t="shared" si="20"/>
        <v>1440</v>
      </c>
      <c r="BU27">
        <f t="shared" si="14"/>
        <v>14400</v>
      </c>
      <c r="BV27" s="1">
        <v>10</v>
      </c>
      <c r="BW27" s="1">
        <v>30</v>
      </c>
      <c r="BX27" s="1">
        <v>10</v>
      </c>
      <c r="BY27" s="1">
        <v>10</v>
      </c>
      <c r="BZ27">
        <v>5</v>
      </c>
      <c r="CA27">
        <v>5</v>
      </c>
      <c r="CB27">
        <v>10</v>
      </c>
      <c r="CC27">
        <v>10</v>
      </c>
      <c r="CD27">
        <v>10</v>
      </c>
      <c r="CF27">
        <v>20</v>
      </c>
      <c r="CG27">
        <v>1</v>
      </c>
      <c r="CH27">
        <f t="shared" si="15"/>
        <v>60</v>
      </c>
      <c r="CI27">
        <v>6</v>
      </c>
      <c r="CJ27">
        <f t="shared" si="23"/>
        <v>30</v>
      </c>
      <c r="CK27">
        <f t="shared" si="7"/>
        <v>48</v>
      </c>
      <c r="CL27">
        <f t="shared" si="21"/>
        <v>2880</v>
      </c>
      <c r="CM27">
        <f t="shared" si="16"/>
        <v>28800</v>
      </c>
      <c r="CN27">
        <f t="shared" si="8"/>
        <v>5</v>
      </c>
      <c r="CO27">
        <f t="shared" si="8"/>
        <v>15</v>
      </c>
      <c r="CP27">
        <f t="shared" si="8"/>
        <v>5</v>
      </c>
      <c r="CQ27">
        <f t="shared" si="8"/>
        <v>5</v>
      </c>
      <c r="CR27">
        <f t="shared" si="8"/>
        <v>5</v>
      </c>
      <c r="CS27">
        <f t="shared" si="8"/>
        <v>5</v>
      </c>
      <c r="CT27">
        <v>1</v>
      </c>
      <c r="CU27">
        <f t="shared" si="17"/>
        <v>30</v>
      </c>
      <c r="CV27">
        <v>6</v>
      </c>
      <c r="CW27">
        <f t="shared" si="24"/>
        <v>30</v>
      </c>
      <c r="CX27">
        <f t="shared" si="10"/>
        <v>48</v>
      </c>
      <c r="CY27">
        <f t="shared" si="22"/>
        <v>1440</v>
      </c>
      <c r="CZ27">
        <f t="shared" si="18"/>
        <v>14400</v>
      </c>
    </row>
    <row r="28" spans="1:104" x14ac:dyDescent="0.25">
      <c r="A28">
        <f t="shared" si="11"/>
        <v>3360</v>
      </c>
      <c r="B28" t="s">
        <v>302</v>
      </c>
      <c r="C28" t="s">
        <v>303</v>
      </c>
      <c r="D28" t="s">
        <v>304</v>
      </c>
      <c r="E28" t="s">
        <v>162</v>
      </c>
      <c r="F28" t="s">
        <v>163</v>
      </c>
      <c r="G28" t="s">
        <v>164</v>
      </c>
      <c r="H28" t="s">
        <v>86</v>
      </c>
      <c r="I28">
        <v>40000</v>
      </c>
      <c r="J28" t="s">
        <v>107</v>
      </c>
      <c r="K28" t="s">
        <v>165</v>
      </c>
      <c r="L28" t="s">
        <v>166</v>
      </c>
      <c r="M28" t="s">
        <v>167</v>
      </c>
      <c r="N28" t="s">
        <v>90</v>
      </c>
      <c r="O28" t="s">
        <v>111</v>
      </c>
      <c r="P28" t="s">
        <v>75</v>
      </c>
      <c r="Q28">
        <v>1.75</v>
      </c>
      <c r="T28">
        <v>0</v>
      </c>
      <c r="U28" t="s">
        <v>76</v>
      </c>
      <c r="V28" t="s">
        <v>77</v>
      </c>
      <c r="W28" t="s">
        <v>78</v>
      </c>
      <c r="X28">
        <v>1</v>
      </c>
      <c r="Y28">
        <v>1</v>
      </c>
      <c r="AB28">
        <v>1</v>
      </c>
      <c r="AC28">
        <v>42439</v>
      </c>
      <c r="AG28">
        <v>1</v>
      </c>
      <c r="AH28" t="s">
        <v>79</v>
      </c>
      <c r="AI28" s="1">
        <v>10</v>
      </c>
      <c r="AJ28" s="1">
        <v>30</v>
      </c>
      <c r="AK28" s="1">
        <v>20</v>
      </c>
      <c r="AL28" s="1">
        <v>10</v>
      </c>
      <c r="AM28">
        <v>10</v>
      </c>
      <c r="AN28">
        <v>10</v>
      </c>
      <c r="AO28">
        <v>10</v>
      </c>
      <c r="AP28">
        <v>10</v>
      </c>
      <c r="AQ28">
        <v>10</v>
      </c>
      <c r="AS28">
        <v>20</v>
      </c>
      <c r="AT28">
        <v>10</v>
      </c>
      <c r="AU28">
        <v>10</v>
      </c>
      <c r="AV28">
        <v>10</v>
      </c>
      <c r="AW28">
        <v>1</v>
      </c>
      <c r="AX28">
        <f t="shared" si="0"/>
        <v>70</v>
      </c>
      <c r="AY28">
        <v>6</v>
      </c>
      <c r="AZ28">
        <f t="shared" si="1"/>
        <v>420</v>
      </c>
      <c r="BA28">
        <f t="shared" si="2"/>
        <v>48</v>
      </c>
      <c r="BB28">
        <f t="shared" si="19"/>
        <v>3360</v>
      </c>
      <c r="BC28">
        <f t="shared" si="12"/>
        <v>33600</v>
      </c>
      <c r="BD28">
        <f t="shared" si="25"/>
        <v>5</v>
      </c>
      <c r="BE28">
        <f t="shared" si="25"/>
        <v>15</v>
      </c>
      <c r="BF28">
        <f t="shared" si="25"/>
        <v>10</v>
      </c>
      <c r="BG28">
        <f t="shared" si="25"/>
        <v>5</v>
      </c>
      <c r="BH28">
        <f t="shared" si="25"/>
        <v>5</v>
      </c>
      <c r="BI28">
        <f t="shared" si="25"/>
        <v>5</v>
      </c>
      <c r="BJ28">
        <f t="shared" si="25"/>
        <v>5</v>
      </c>
      <c r="BK28">
        <v>10</v>
      </c>
      <c r="BL28">
        <v>10</v>
      </c>
      <c r="BM28">
        <f t="shared" si="26"/>
        <v>0</v>
      </c>
      <c r="BN28">
        <f t="shared" si="26"/>
        <v>10</v>
      </c>
      <c r="BO28">
        <v>1</v>
      </c>
      <c r="BP28">
        <f t="shared" si="13"/>
        <v>35</v>
      </c>
      <c r="BQ28">
        <v>6</v>
      </c>
      <c r="BR28">
        <f t="shared" si="4"/>
        <v>210</v>
      </c>
      <c r="BS28">
        <f t="shared" si="5"/>
        <v>48</v>
      </c>
      <c r="BT28">
        <f t="shared" si="20"/>
        <v>1680</v>
      </c>
      <c r="BU28">
        <f t="shared" si="14"/>
        <v>16800</v>
      </c>
      <c r="BV28" s="1">
        <v>10</v>
      </c>
      <c r="BW28" s="1">
        <v>30</v>
      </c>
      <c r="BX28" s="1">
        <v>20</v>
      </c>
      <c r="BY28" s="1">
        <v>10</v>
      </c>
      <c r="BZ28">
        <v>5</v>
      </c>
      <c r="CA28">
        <v>5</v>
      </c>
      <c r="CB28">
        <v>10</v>
      </c>
      <c r="CC28">
        <v>10</v>
      </c>
      <c r="CD28">
        <v>10</v>
      </c>
      <c r="CF28">
        <v>20</v>
      </c>
      <c r="CG28">
        <v>1</v>
      </c>
      <c r="CH28">
        <f t="shared" si="15"/>
        <v>70</v>
      </c>
      <c r="CI28">
        <v>6</v>
      </c>
      <c r="CJ28">
        <f t="shared" si="23"/>
        <v>30</v>
      </c>
      <c r="CK28">
        <f t="shared" si="7"/>
        <v>48</v>
      </c>
      <c r="CL28">
        <f t="shared" si="21"/>
        <v>3360</v>
      </c>
      <c r="CM28">
        <f t="shared" si="16"/>
        <v>33600</v>
      </c>
      <c r="CN28">
        <f t="shared" si="8"/>
        <v>5</v>
      </c>
      <c r="CO28">
        <f t="shared" si="8"/>
        <v>15</v>
      </c>
      <c r="CP28">
        <f t="shared" si="8"/>
        <v>10</v>
      </c>
      <c r="CQ28">
        <f t="shared" si="8"/>
        <v>5</v>
      </c>
      <c r="CR28">
        <f t="shared" si="8"/>
        <v>5</v>
      </c>
      <c r="CS28">
        <f t="shared" si="8"/>
        <v>5</v>
      </c>
      <c r="CT28">
        <v>1</v>
      </c>
      <c r="CU28">
        <f t="shared" si="17"/>
        <v>35</v>
      </c>
      <c r="CV28">
        <v>6</v>
      </c>
      <c r="CW28">
        <f t="shared" si="24"/>
        <v>30</v>
      </c>
      <c r="CX28">
        <f t="shared" si="10"/>
        <v>48</v>
      </c>
      <c r="CY28">
        <f t="shared" si="22"/>
        <v>1680</v>
      </c>
      <c r="CZ28">
        <f t="shared" si="18"/>
        <v>16800</v>
      </c>
    </row>
    <row r="29" spans="1:104" x14ac:dyDescent="0.25">
      <c r="A29">
        <f t="shared" si="11"/>
        <v>1920</v>
      </c>
      <c r="B29" t="s">
        <v>305</v>
      </c>
      <c r="C29" t="s">
        <v>306</v>
      </c>
      <c r="D29" t="s">
        <v>307</v>
      </c>
      <c r="E29" t="s">
        <v>233</v>
      </c>
      <c r="F29" t="s">
        <v>234</v>
      </c>
      <c r="G29" t="s">
        <v>235</v>
      </c>
      <c r="H29" t="s">
        <v>118</v>
      </c>
      <c r="I29">
        <v>47650</v>
      </c>
      <c r="J29" t="s">
        <v>107</v>
      </c>
      <c r="K29" t="s">
        <v>236</v>
      </c>
      <c r="L29" t="s">
        <v>237</v>
      </c>
      <c r="M29" t="s">
        <v>238</v>
      </c>
      <c r="N29" t="s">
        <v>90</v>
      </c>
      <c r="O29" t="s">
        <v>111</v>
      </c>
      <c r="P29" t="s">
        <v>75</v>
      </c>
      <c r="Q29">
        <v>2</v>
      </c>
      <c r="T29">
        <v>0</v>
      </c>
      <c r="U29" t="s">
        <v>76</v>
      </c>
      <c r="V29" t="s">
        <v>77</v>
      </c>
      <c r="W29" t="s">
        <v>78</v>
      </c>
      <c r="X29">
        <v>1</v>
      </c>
      <c r="Y29">
        <v>1</v>
      </c>
      <c r="AB29">
        <v>1</v>
      </c>
      <c r="AC29">
        <v>42439</v>
      </c>
      <c r="AG29">
        <v>1</v>
      </c>
      <c r="AH29" t="s">
        <v>79</v>
      </c>
      <c r="AI29" s="1">
        <v>10</v>
      </c>
      <c r="AJ29" s="1">
        <v>10</v>
      </c>
      <c r="AK29" s="1">
        <v>10</v>
      </c>
      <c r="AL29" s="1">
        <v>10</v>
      </c>
      <c r="AM29">
        <v>10</v>
      </c>
      <c r="AN29">
        <v>10</v>
      </c>
      <c r="AO29">
        <v>10</v>
      </c>
      <c r="AP29">
        <v>10</v>
      </c>
      <c r="AQ29">
        <v>10</v>
      </c>
      <c r="AS29">
        <v>20</v>
      </c>
      <c r="AT29">
        <v>10</v>
      </c>
      <c r="AU29">
        <v>10</v>
      </c>
      <c r="AV29">
        <v>10</v>
      </c>
      <c r="AW29">
        <v>1</v>
      </c>
      <c r="AX29">
        <f t="shared" si="0"/>
        <v>40</v>
      </c>
      <c r="AY29">
        <v>6</v>
      </c>
      <c r="AZ29">
        <f t="shared" si="1"/>
        <v>240</v>
      </c>
      <c r="BA29">
        <f t="shared" si="2"/>
        <v>48</v>
      </c>
      <c r="BB29">
        <f t="shared" si="19"/>
        <v>1920</v>
      </c>
      <c r="BC29">
        <f t="shared" si="12"/>
        <v>19200</v>
      </c>
      <c r="BD29">
        <f t="shared" si="25"/>
        <v>5</v>
      </c>
      <c r="BE29">
        <f t="shared" si="25"/>
        <v>5</v>
      </c>
      <c r="BF29">
        <f t="shared" si="25"/>
        <v>5</v>
      </c>
      <c r="BG29">
        <f t="shared" si="25"/>
        <v>5</v>
      </c>
      <c r="BH29">
        <f t="shared" si="25"/>
        <v>5</v>
      </c>
      <c r="BI29">
        <f t="shared" si="25"/>
        <v>5</v>
      </c>
      <c r="BJ29">
        <f t="shared" si="25"/>
        <v>5</v>
      </c>
      <c r="BK29">
        <v>10</v>
      </c>
      <c r="BL29">
        <v>10</v>
      </c>
      <c r="BM29">
        <f t="shared" si="26"/>
        <v>0</v>
      </c>
      <c r="BN29">
        <f t="shared" si="26"/>
        <v>10</v>
      </c>
      <c r="BO29">
        <v>1</v>
      </c>
      <c r="BP29">
        <f t="shared" si="13"/>
        <v>20</v>
      </c>
      <c r="BQ29">
        <v>6</v>
      </c>
      <c r="BR29">
        <f t="shared" si="4"/>
        <v>120</v>
      </c>
      <c r="BS29">
        <f t="shared" si="5"/>
        <v>48</v>
      </c>
      <c r="BT29">
        <f t="shared" si="20"/>
        <v>960</v>
      </c>
      <c r="BU29">
        <f t="shared" si="14"/>
        <v>9600</v>
      </c>
      <c r="BV29" s="1">
        <v>10</v>
      </c>
      <c r="BW29" s="1">
        <v>10</v>
      </c>
      <c r="BX29" s="1">
        <v>10</v>
      </c>
      <c r="BY29" s="1">
        <v>10</v>
      </c>
      <c r="BZ29">
        <v>5</v>
      </c>
      <c r="CA29">
        <v>5</v>
      </c>
      <c r="CB29">
        <v>10</v>
      </c>
      <c r="CC29">
        <v>10</v>
      </c>
      <c r="CD29">
        <v>10</v>
      </c>
      <c r="CF29">
        <v>20</v>
      </c>
      <c r="CG29">
        <v>1</v>
      </c>
      <c r="CH29">
        <f t="shared" si="15"/>
        <v>40</v>
      </c>
      <c r="CI29">
        <v>6</v>
      </c>
      <c r="CJ29">
        <f t="shared" si="23"/>
        <v>30</v>
      </c>
      <c r="CK29">
        <f t="shared" si="7"/>
        <v>48</v>
      </c>
      <c r="CL29">
        <f t="shared" si="21"/>
        <v>1920</v>
      </c>
      <c r="CM29">
        <f t="shared" si="16"/>
        <v>19200</v>
      </c>
      <c r="CN29">
        <f t="shared" si="8"/>
        <v>5</v>
      </c>
      <c r="CO29">
        <f t="shared" si="8"/>
        <v>5</v>
      </c>
      <c r="CP29">
        <f t="shared" si="8"/>
        <v>5</v>
      </c>
      <c r="CQ29">
        <f t="shared" si="8"/>
        <v>5</v>
      </c>
      <c r="CR29">
        <f t="shared" si="8"/>
        <v>5</v>
      </c>
      <c r="CS29">
        <f t="shared" si="8"/>
        <v>5</v>
      </c>
      <c r="CT29">
        <v>1</v>
      </c>
      <c r="CU29">
        <f t="shared" si="17"/>
        <v>20</v>
      </c>
      <c r="CV29">
        <v>6</v>
      </c>
      <c r="CW29">
        <f t="shared" si="24"/>
        <v>30</v>
      </c>
      <c r="CX29">
        <f t="shared" si="10"/>
        <v>48</v>
      </c>
      <c r="CY29">
        <f t="shared" si="22"/>
        <v>960</v>
      </c>
      <c r="CZ29">
        <f t="shared" si="18"/>
        <v>9600</v>
      </c>
    </row>
    <row r="30" spans="1:104" x14ac:dyDescent="0.25">
      <c r="A30">
        <f t="shared" si="11"/>
        <v>0</v>
      </c>
      <c r="B30" t="s">
        <v>308</v>
      </c>
      <c r="C30" t="s">
        <v>309</v>
      </c>
      <c r="D30" t="s">
        <v>310</v>
      </c>
      <c r="E30" t="s">
        <v>233</v>
      </c>
      <c r="F30" t="s">
        <v>234</v>
      </c>
      <c r="G30" t="s">
        <v>235</v>
      </c>
      <c r="H30" t="s">
        <v>118</v>
      </c>
      <c r="I30">
        <v>47650</v>
      </c>
      <c r="J30" t="s">
        <v>107</v>
      </c>
      <c r="K30" t="s">
        <v>236</v>
      </c>
      <c r="L30" t="s">
        <v>237</v>
      </c>
      <c r="M30" t="s">
        <v>238</v>
      </c>
      <c r="N30" t="s">
        <v>90</v>
      </c>
      <c r="O30" t="s">
        <v>111</v>
      </c>
      <c r="P30" t="s">
        <v>75</v>
      </c>
      <c r="Q30">
        <v>2</v>
      </c>
      <c r="T30">
        <v>0</v>
      </c>
      <c r="U30" t="s">
        <v>76</v>
      </c>
      <c r="V30" t="s">
        <v>77</v>
      </c>
      <c r="W30" t="s">
        <v>78</v>
      </c>
      <c r="X30">
        <v>1</v>
      </c>
      <c r="Y30">
        <v>1</v>
      </c>
      <c r="AB30">
        <v>1</v>
      </c>
      <c r="AC30">
        <v>42439</v>
      </c>
      <c r="AG30">
        <v>1</v>
      </c>
      <c r="AH30" t="s">
        <v>79</v>
      </c>
      <c r="AI30" s="1">
        <v>0</v>
      </c>
      <c r="AJ30" s="1">
        <v>0</v>
      </c>
      <c r="AK30" s="1">
        <v>0</v>
      </c>
      <c r="AL30" s="1">
        <v>0</v>
      </c>
      <c r="AM30">
        <v>0</v>
      </c>
      <c r="AN30">
        <v>0</v>
      </c>
      <c r="AO30">
        <v>0</v>
      </c>
      <c r="AP30">
        <v>0</v>
      </c>
      <c r="AQ30">
        <v>0</v>
      </c>
      <c r="AS30">
        <v>20</v>
      </c>
      <c r="AT30">
        <v>0</v>
      </c>
      <c r="AU30">
        <v>0</v>
      </c>
      <c r="AV30">
        <v>0</v>
      </c>
      <c r="AX30">
        <f t="shared" si="0"/>
        <v>0</v>
      </c>
      <c r="AY30">
        <v>6</v>
      </c>
      <c r="AZ30">
        <f t="shared" si="1"/>
        <v>0</v>
      </c>
      <c r="BA30">
        <f t="shared" si="2"/>
        <v>48</v>
      </c>
      <c r="BB30">
        <f t="shared" si="19"/>
        <v>0</v>
      </c>
      <c r="BC30">
        <f t="shared" si="12"/>
        <v>0</v>
      </c>
      <c r="BD30">
        <f t="shared" si="25"/>
        <v>0</v>
      </c>
      <c r="BE30">
        <f t="shared" si="25"/>
        <v>0</v>
      </c>
      <c r="BF30">
        <f t="shared" si="25"/>
        <v>0</v>
      </c>
      <c r="BG30">
        <f t="shared" si="25"/>
        <v>0</v>
      </c>
      <c r="BH30">
        <f t="shared" si="25"/>
        <v>0</v>
      </c>
      <c r="BI30">
        <f t="shared" si="25"/>
        <v>0</v>
      </c>
      <c r="BJ30">
        <f t="shared" si="25"/>
        <v>0</v>
      </c>
      <c r="BK30">
        <v>0</v>
      </c>
      <c r="BL30">
        <v>0</v>
      </c>
      <c r="BM30">
        <f t="shared" si="26"/>
        <v>0</v>
      </c>
      <c r="BN30">
        <f t="shared" si="26"/>
        <v>10</v>
      </c>
      <c r="BO30">
        <v>1</v>
      </c>
      <c r="BP30">
        <f t="shared" si="13"/>
        <v>0</v>
      </c>
      <c r="BQ30">
        <v>6</v>
      </c>
      <c r="BR30">
        <f t="shared" si="4"/>
        <v>0</v>
      </c>
      <c r="BS30">
        <f t="shared" si="5"/>
        <v>48</v>
      </c>
      <c r="BT30">
        <f t="shared" si="20"/>
        <v>0</v>
      </c>
      <c r="BU30">
        <f t="shared" si="14"/>
        <v>0</v>
      </c>
      <c r="BV30" s="1">
        <v>0</v>
      </c>
      <c r="BW30" s="1">
        <v>0</v>
      </c>
      <c r="BX30" s="1">
        <v>0</v>
      </c>
      <c r="BY30" s="1">
        <v>0</v>
      </c>
      <c r="BZ30">
        <v>0</v>
      </c>
      <c r="CA30">
        <v>0</v>
      </c>
      <c r="CB30">
        <v>0</v>
      </c>
      <c r="CC30">
        <v>0</v>
      </c>
      <c r="CD30">
        <v>0</v>
      </c>
      <c r="CF30">
        <v>20</v>
      </c>
      <c r="CH30">
        <f t="shared" si="15"/>
        <v>0</v>
      </c>
      <c r="CI30">
        <v>6</v>
      </c>
      <c r="CJ30">
        <f t="shared" si="23"/>
        <v>0</v>
      </c>
      <c r="CK30">
        <f t="shared" si="7"/>
        <v>48</v>
      </c>
      <c r="CL30">
        <f t="shared" si="21"/>
        <v>0</v>
      </c>
      <c r="CM30">
        <f t="shared" si="16"/>
        <v>0</v>
      </c>
      <c r="CN30">
        <f t="shared" si="8"/>
        <v>0</v>
      </c>
      <c r="CO30">
        <f t="shared" si="8"/>
        <v>0</v>
      </c>
      <c r="CP30">
        <f t="shared" si="8"/>
        <v>0</v>
      </c>
      <c r="CQ30">
        <f t="shared" si="8"/>
        <v>0</v>
      </c>
      <c r="CR30">
        <f t="shared" si="8"/>
        <v>0</v>
      </c>
      <c r="CS30">
        <f t="shared" si="8"/>
        <v>0</v>
      </c>
      <c r="CT30">
        <v>1</v>
      </c>
      <c r="CU30">
        <f t="shared" si="17"/>
        <v>0</v>
      </c>
      <c r="CV30">
        <v>6</v>
      </c>
      <c r="CW30">
        <f t="shared" si="24"/>
        <v>0</v>
      </c>
      <c r="CX30">
        <f t="shared" si="10"/>
        <v>48</v>
      </c>
      <c r="CY30">
        <f t="shared" si="22"/>
        <v>0</v>
      </c>
      <c r="CZ30">
        <f t="shared" si="18"/>
        <v>0</v>
      </c>
    </row>
    <row r="31" spans="1:104" x14ac:dyDescent="0.25">
      <c r="A31">
        <f t="shared" si="11"/>
        <v>3840</v>
      </c>
      <c r="B31" t="s">
        <v>311</v>
      </c>
      <c r="C31" t="s">
        <v>312</v>
      </c>
      <c r="D31" t="s">
        <v>313</v>
      </c>
      <c r="E31" t="s">
        <v>115</v>
      </c>
      <c r="F31" t="s">
        <v>116</v>
      </c>
      <c r="G31" t="s">
        <v>117</v>
      </c>
      <c r="H31" t="s">
        <v>118</v>
      </c>
      <c r="I31">
        <v>43300</v>
      </c>
      <c r="J31" t="s">
        <v>107</v>
      </c>
      <c r="K31" t="s">
        <v>119</v>
      </c>
      <c r="L31" t="s">
        <v>120</v>
      </c>
      <c r="M31" t="s">
        <v>121</v>
      </c>
      <c r="N31" t="s">
        <v>90</v>
      </c>
      <c r="O31" t="s">
        <v>74</v>
      </c>
      <c r="P31" t="s">
        <v>75</v>
      </c>
      <c r="Q31">
        <v>1.75</v>
      </c>
      <c r="T31">
        <v>0</v>
      </c>
      <c r="U31" t="s">
        <v>76</v>
      </c>
      <c r="V31" t="s">
        <v>77</v>
      </c>
      <c r="W31" t="s">
        <v>78</v>
      </c>
      <c r="X31">
        <v>1</v>
      </c>
      <c r="Y31">
        <v>1</v>
      </c>
      <c r="AB31">
        <v>1</v>
      </c>
      <c r="AC31">
        <v>42439</v>
      </c>
      <c r="AG31">
        <v>1</v>
      </c>
      <c r="AH31" t="s">
        <v>79</v>
      </c>
      <c r="AI31" s="1">
        <v>10</v>
      </c>
      <c r="AJ31" s="1">
        <v>50</v>
      </c>
      <c r="AK31" s="1">
        <v>10</v>
      </c>
      <c r="AL31" s="1">
        <v>10</v>
      </c>
      <c r="AM31">
        <v>10</v>
      </c>
      <c r="AN31">
        <v>10</v>
      </c>
      <c r="AO31">
        <v>10</v>
      </c>
      <c r="AP31">
        <v>10</v>
      </c>
      <c r="AQ31">
        <v>10</v>
      </c>
      <c r="AS31">
        <v>20</v>
      </c>
      <c r="AT31">
        <v>10</v>
      </c>
      <c r="AU31">
        <v>10</v>
      </c>
      <c r="AV31">
        <v>10</v>
      </c>
      <c r="AW31">
        <v>1</v>
      </c>
      <c r="AX31">
        <f t="shared" si="0"/>
        <v>80</v>
      </c>
      <c r="AY31">
        <v>6</v>
      </c>
      <c r="AZ31">
        <f t="shared" si="1"/>
        <v>480</v>
      </c>
      <c r="BA31">
        <f t="shared" si="2"/>
        <v>48</v>
      </c>
      <c r="BB31">
        <f t="shared" si="19"/>
        <v>3840</v>
      </c>
      <c r="BC31">
        <f t="shared" si="12"/>
        <v>38400</v>
      </c>
      <c r="BD31">
        <f t="shared" si="25"/>
        <v>5</v>
      </c>
      <c r="BE31">
        <f t="shared" si="25"/>
        <v>25</v>
      </c>
      <c r="BF31">
        <f t="shared" si="25"/>
        <v>5</v>
      </c>
      <c r="BG31">
        <f t="shared" si="25"/>
        <v>5</v>
      </c>
      <c r="BH31">
        <f t="shared" si="25"/>
        <v>5</v>
      </c>
      <c r="BI31">
        <f t="shared" si="25"/>
        <v>5</v>
      </c>
      <c r="BJ31">
        <f t="shared" si="25"/>
        <v>5</v>
      </c>
      <c r="BK31">
        <v>10</v>
      </c>
      <c r="BL31">
        <v>10</v>
      </c>
      <c r="BM31">
        <f t="shared" si="26"/>
        <v>0</v>
      </c>
      <c r="BN31">
        <f t="shared" si="26"/>
        <v>10</v>
      </c>
      <c r="BO31">
        <v>1</v>
      </c>
      <c r="BP31">
        <f t="shared" si="13"/>
        <v>40</v>
      </c>
      <c r="BQ31">
        <v>6</v>
      </c>
      <c r="BR31">
        <f t="shared" si="4"/>
        <v>240</v>
      </c>
      <c r="BS31">
        <f t="shared" si="5"/>
        <v>48</v>
      </c>
      <c r="BT31">
        <f t="shared" si="20"/>
        <v>1920</v>
      </c>
      <c r="BU31">
        <f t="shared" si="14"/>
        <v>19200</v>
      </c>
      <c r="BV31" s="1">
        <v>10</v>
      </c>
      <c r="BW31" s="1">
        <v>50</v>
      </c>
      <c r="BX31" s="1">
        <v>10</v>
      </c>
      <c r="BY31" s="1">
        <v>10</v>
      </c>
      <c r="BZ31">
        <v>5</v>
      </c>
      <c r="CA31">
        <v>5</v>
      </c>
      <c r="CB31">
        <v>10</v>
      </c>
      <c r="CC31">
        <v>10</v>
      </c>
      <c r="CD31">
        <v>10</v>
      </c>
      <c r="CF31">
        <v>20</v>
      </c>
      <c r="CG31">
        <v>1</v>
      </c>
      <c r="CH31">
        <f t="shared" si="15"/>
        <v>80</v>
      </c>
      <c r="CI31">
        <v>6</v>
      </c>
      <c r="CJ31">
        <f t="shared" si="23"/>
        <v>30</v>
      </c>
      <c r="CK31">
        <f t="shared" si="7"/>
        <v>48</v>
      </c>
      <c r="CL31">
        <f t="shared" si="21"/>
        <v>3840</v>
      </c>
      <c r="CM31">
        <f t="shared" si="16"/>
        <v>38400</v>
      </c>
      <c r="CN31">
        <f t="shared" si="8"/>
        <v>5</v>
      </c>
      <c r="CO31">
        <f t="shared" si="8"/>
        <v>25</v>
      </c>
      <c r="CP31">
        <f t="shared" si="8"/>
        <v>5</v>
      </c>
      <c r="CQ31">
        <f t="shared" si="8"/>
        <v>5</v>
      </c>
      <c r="CR31">
        <f t="shared" si="8"/>
        <v>5</v>
      </c>
      <c r="CS31">
        <f t="shared" si="8"/>
        <v>5</v>
      </c>
      <c r="CT31">
        <v>1</v>
      </c>
      <c r="CU31">
        <f t="shared" si="17"/>
        <v>40</v>
      </c>
      <c r="CV31">
        <v>6</v>
      </c>
      <c r="CW31">
        <f t="shared" si="24"/>
        <v>30</v>
      </c>
      <c r="CX31">
        <f t="shared" si="10"/>
        <v>48</v>
      </c>
      <c r="CY31">
        <f t="shared" si="22"/>
        <v>1920</v>
      </c>
      <c r="CZ31">
        <f t="shared" si="18"/>
        <v>19200</v>
      </c>
    </row>
    <row r="32" spans="1:104" x14ac:dyDescent="0.25">
      <c r="A32">
        <f t="shared" si="11"/>
        <v>3840</v>
      </c>
      <c r="B32" t="s">
        <v>314</v>
      </c>
      <c r="C32" t="s">
        <v>315</v>
      </c>
      <c r="D32" t="s">
        <v>316</v>
      </c>
      <c r="E32" t="s">
        <v>171</v>
      </c>
      <c r="F32" t="s">
        <v>172</v>
      </c>
      <c r="G32" t="s">
        <v>173</v>
      </c>
      <c r="H32" t="s">
        <v>96</v>
      </c>
      <c r="I32">
        <v>53100</v>
      </c>
      <c r="J32" t="s">
        <v>107</v>
      </c>
      <c r="K32" t="s">
        <v>174</v>
      </c>
      <c r="L32" t="s">
        <v>175</v>
      </c>
      <c r="M32" t="s">
        <v>176</v>
      </c>
      <c r="N32" t="s">
        <v>90</v>
      </c>
      <c r="O32" t="s">
        <v>74</v>
      </c>
      <c r="P32" t="s">
        <v>75</v>
      </c>
      <c r="Q32">
        <v>1.75</v>
      </c>
      <c r="R32" t="s">
        <v>317</v>
      </c>
      <c r="T32">
        <v>0</v>
      </c>
      <c r="U32" t="s">
        <v>76</v>
      </c>
      <c r="V32" t="s">
        <v>77</v>
      </c>
      <c r="W32" t="s">
        <v>78</v>
      </c>
      <c r="X32">
        <v>1</v>
      </c>
      <c r="Y32">
        <v>1</v>
      </c>
      <c r="AB32">
        <v>1</v>
      </c>
      <c r="AC32">
        <v>42439</v>
      </c>
      <c r="AG32">
        <v>1</v>
      </c>
      <c r="AH32" t="s">
        <v>79</v>
      </c>
      <c r="AI32" s="1">
        <v>10</v>
      </c>
      <c r="AJ32" s="1">
        <v>50</v>
      </c>
      <c r="AK32" s="1">
        <v>10</v>
      </c>
      <c r="AL32" s="1">
        <v>10</v>
      </c>
      <c r="AM32">
        <v>10</v>
      </c>
      <c r="AN32">
        <v>10</v>
      </c>
      <c r="AO32">
        <v>10</v>
      </c>
      <c r="AP32">
        <v>10</v>
      </c>
      <c r="AQ32">
        <v>10</v>
      </c>
      <c r="AS32">
        <v>20</v>
      </c>
      <c r="AT32">
        <v>10</v>
      </c>
      <c r="AU32">
        <v>10</v>
      </c>
      <c r="AV32">
        <v>10</v>
      </c>
      <c r="AW32">
        <v>1</v>
      </c>
      <c r="AX32">
        <f t="shared" si="0"/>
        <v>80</v>
      </c>
      <c r="AY32">
        <v>6</v>
      </c>
      <c r="AZ32">
        <f t="shared" si="1"/>
        <v>480</v>
      </c>
      <c r="BA32">
        <f t="shared" si="2"/>
        <v>48</v>
      </c>
      <c r="BB32">
        <f t="shared" si="19"/>
        <v>3840</v>
      </c>
      <c r="BC32">
        <f t="shared" si="12"/>
        <v>38400</v>
      </c>
      <c r="BD32">
        <f t="shared" si="25"/>
        <v>5</v>
      </c>
      <c r="BE32">
        <f t="shared" si="25"/>
        <v>25</v>
      </c>
      <c r="BF32">
        <f t="shared" si="25"/>
        <v>5</v>
      </c>
      <c r="BG32">
        <f t="shared" si="25"/>
        <v>5</v>
      </c>
      <c r="BH32">
        <f t="shared" si="25"/>
        <v>5</v>
      </c>
      <c r="BI32">
        <f t="shared" si="25"/>
        <v>5</v>
      </c>
      <c r="BJ32">
        <f t="shared" si="25"/>
        <v>5</v>
      </c>
      <c r="BK32">
        <v>10</v>
      </c>
      <c r="BL32">
        <v>10</v>
      </c>
      <c r="BM32">
        <f t="shared" si="26"/>
        <v>0</v>
      </c>
      <c r="BN32">
        <f t="shared" si="26"/>
        <v>10</v>
      </c>
      <c r="BO32">
        <v>1</v>
      </c>
      <c r="BP32">
        <f t="shared" si="13"/>
        <v>40</v>
      </c>
      <c r="BQ32">
        <v>6</v>
      </c>
      <c r="BR32">
        <f t="shared" si="4"/>
        <v>240</v>
      </c>
      <c r="BS32">
        <f t="shared" si="5"/>
        <v>48</v>
      </c>
      <c r="BT32">
        <f t="shared" si="20"/>
        <v>1920</v>
      </c>
      <c r="BU32">
        <f t="shared" si="14"/>
        <v>19200</v>
      </c>
      <c r="BV32" s="1">
        <v>10</v>
      </c>
      <c r="BW32" s="1">
        <v>50</v>
      </c>
      <c r="BX32" s="1">
        <v>10</v>
      </c>
      <c r="BY32" s="1">
        <v>10</v>
      </c>
      <c r="BZ32">
        <v>5</v>
      </c>
      <c r="CA32">
        <v>5</v>
      </c>
      <c r="CB32">
        <v>10</v>
      </c>
      <c r="CC32">
        <v>10</v>
      </c>
      <c r="CD32">
        <v>10</v>
      </c>
      <c r="CF32">
        <v>20</v>
      </c>
      <c r="CG32">
        <v>1</v>
      </c>
      <c r="CH32">
        <f t="shared" si="15"/>
        <v>80</v>
      </c>
      <c r="CI32">
        <v>6</v>
      </c>
      <c r="CJ32">
        <f t="shared" si="23"/>
        <v>30</v>
      </c>
      <c r="CK32">
        <f t="shared" si="7"/>
        <v>48</v>
      </c>
      <c r="CL32">
        <f t="shared" si="21"/>
        <v>3840</v>
      </c>
      <c r="CM32">
        <f t="shared" si="16"/>
        <v>38400</v>
      </c>
      <c r="CN32">
        <f t="shared" si="8"/>
        <v>5</v>
      </c>
      <c r="CO32">
        <f t="shared" si="8"/>
        <v>25</v>
      </c>
      <c r="CP32">
        <f t="shared" si="8"/>
        <v>5</v>
      </c>
      <c r="CQ32">
        <f t="shared" si="8"/>
        <v>5</v>
      </c>
      <c r="CR32">
        <f t="shared" si="8"/>
        <v>5</v>
      </c>
      <c r="CS32">
        <f t="shared" si="8"/>
        <v>5</v>
      </c>
      <c r="CT32">
        <v>1</v>
      </c>
      <c r="CU32">
        <f t="shared" si="17"/>
        <v>40</v>
      </c>
      <c r="CV32">
        <v>6</v>
      </c>
      <c r="CW32">
        <f t="shared" si="24"/>
        <v>30</v>
      </c>
      <c r="CX32">
        <f t="shared" si="10"/>
        <v>48</v>
      </c>
      <c r="CY32">
        <f t="shared" si="22"/>
        <v>1920</v>
      </c>
      <c r="CZ32">
        <f t="shared" si="18"/>
        <v>19200</v>
      </c>
    </row>
    <row r="33" spans="1:104" x14ac:dyDescent="0.25">
      <c r="A33">
        <f t="shared" si="11"/>
        <v>4320</v>
      </c>
      <c r="B33" t="s">
        <v>318</v>
      </c>
      <c r="C33" t="s">
        <v>319</v>
      </c>
      <c r="D33" t="s">
        <v>320</v>
      </c>
      <c r="E33" t="s">
        <v>321</v>
      </c>
      <c r="F33" t="s">
        <v>322</v>
      </c>
      <c r="G33" t="s">
        <v>164</v>
      </c>
      <c r="H33" t="s">
        <v>118</v>
      </c>
      <c r="I33">
        <v>40300</v>
      </c>
      <c r="J33" t="s">
        <v>107</v>
      </c>
      <c r="K33" t="s">
        <v>323</v>
      </c>
      <c r="L33" t="s">
        <v>324</v>
      </c>
      <c r="M33" t="s">
        <v>325</v>
      </c>
      <c r="N33" t="s">
        <v>326</v>
      </c>
      <c r="O33" t="s">
        <v>111</v>
      </c>
      <c r="P33" t="s">
        <v>75</v>
      </c>
      <c r="Q33">
        <v>2</v>
      </c>
      <c r="T33">
        <v>0</v>
      </c>
      <c r="U33" t="s">
        <v>327</v>
      </c>
      <c r="V33" t="s">
        <v>77</v>
      </c>
      <c r="W33" t="s">
        <v>78</v>
      </c>
      <c r="AC33">
        <v>42439</v>
      </c>
      <c r="AG33">
        <v>1</v>
      </c>
      <c r="AH33" t="s">
        <v>79</v>
      </c>
      <c r="AI33" s="1">
        <v>20</v>
      </c>
      <c r="AJ33" s="1">
        <v>40</v>
      </c>
      <c r="AK33" s="1">
        <v>20</v>
      </c>
      <c r="AL33" s="1">
        <v>10</v>
      </c>
      <c r="AM33">
        <v>10</v>
      </c>
      <c r="AN33">
        <v>10</v>
      </c>
      <c r="AO33">
        <v>10</v>
      </c>
      <c r="AP33">
        <v>10</v>
      </c>
      <c r="AQ33">
        <v>10</v>
      </c>
      <c r="AT33">
        <v>10</v>
      </c>
      <c r="AU33">
        <v>10</v>
      </c>
      <c r="AV33">
        <v>10</v>
      </c>
      <c r="AW33">
        <v>1</v>
      </c>
      <c r="AX33">
        <f t="shared" si="0"/>
        <v>90</v>
      </c>
      <c r="AY33">
        <v>6</v>
      </c>
      <c r="AZ33">
        <f t="shared" si="1"/>
        <v>540</v>
      </c>
      <c r="BA33">
        <f t="shared" si="2"/>
        <v>48</v>
      </c>
      <c r="BB33">
        <f>AX33*BA33</f>
        <v>4320</v>
      </c>
      <c r="BC33">
        <f>BB33*10</f>
        <v>43200</v>
      </c>
      <c r="BD33">
        <f t="shared" si="25"/>
        <v>10</v>
      </c>
      <c r="BE33">
        <f t="shared" si="25"/>
        <v>20</v>
      </c>
      <c r="BF33">
        <f t="shared" si="25"/>
        <v>10</v>
      </c>
      <c r="BG33">
        <f t="shared" si="25"/>
        <v>5</v>
      </c>
      <c r="BH33">
        <f t="shared" si="25"/>
        <v>5</v>
      </c>
      <c r="BI33">
        <f t="shared" si="25"/>
        <v>5</v>
      </c>
      <c r="BJ33">
        <f t="shared" si="25"/>
        <v>5</v>
      </c>
      <c r="BK33">
        <v>10</v>
      </c>
      <c r="BL33">
        <v>10</v>
      </c>
      <c r="BO33">
        <v>1</v>
      </c>
      <c r="BP33">
        <f t="shared" si="13"/>
        <v>45</v>
      </c>
      <c r="BQ33">
        <v>6</v>
      </c>
      <c r="BR33">
        <f t="shared" si="4"/>
        <v>270</v>
      </c>
      <c r="BS33">
        <f t="shared" si="5"/>
        <v>48</v>
      </c>
      <c r="BT33">
        <f t="shared" si="20"/>
        <v>2160</v>
      </c>
      <c r="BU33">
        <f t="shared" si="14"/>
        <v>21600</v>
      </c>
      <c r="BV33" s="1">
        <v>20</v>
      </c>
      <c r="BW33" s="1">
        <v>40</v>
      </c>
      <c r="BX33" s="1">
        <v>20</v>
      </c>
      <c r="BY33" s="1">
        <v>10</v>
      </c>
      <c r="BZ33">
        <v>10</v>
      </c>
      <c r="CA33">
        <v>5</v>
      </c>
      <c r="CB33">
        <v>10</v>
      </c>
      <c r="CC33">
        <v>10</v>
      </c>
      <c r="CD33">
        <v>10</v>
      </c>
      <c r="CG33">
        <v>1</v>
      </c>
      <c r="CH33">
        <f>SUM(BV33:BY33)</f>
        <v>90</v>
      </c>
      <c r="CI33">
        <v>6</v>
      </c>
      <c r="CJ33">
        <f t="shared" si="23"/>
        <v>30</v>
      </c>
      <c r="CK33">
        <f t="shared" si="7"/>
        <v>48</v>
      </c>
      <c r="CL33">
        <f>CH33*CK33</f>
        <v>4320</v>
      </c>
      <c r="CM33">
        <f>CL33*10</f>
        <v>43200</v>
      </c>
      <c r="CN33">
        <v>15</v>
      </c>
      <c r="CO33">
        <v>60</v>
      </c>
      <c r="CP33">
        <v>20</v>
      </c>
      <c r="CQ33">
        <v>10</v>
      </c>
      <c r="CR33">
        <v>10</v>
      </c>
      <c r="CS33">
        <f t="shared" ref="CS33:CS41" si="27">MROUND(AN33/2,5)</f>
        <v>5</v>
      </c>
      <c r="CT33">
        <v>1</v>
      </c>
      <c r="CU33">
        <f>SUM(CN33:CQ33)</f>
        <v>105</v>
      </c>
      <c r="CV33">
        <v>6</v>
      </c>
      <c r="CW33">
        <f>CS33*CV33</f>
        <v>30</v>
      </c>
      <c r="CX33">
        <f t="shared" si="10"/>
        <v>48</v>
      </c>
      <c r="CY33">
        <f>CU33*CX33</f>
        <v>5040</v>
      </c>
      <c r="CZ33">
        <f>CY33*10</f>
        <v>50400</v>
      </c>
    </row>
    <row r="34" spans="1:104" x14ac:dyDescent="0.25">
      <c r="A34">
        <f t="shared" si="11"/>
        <v>2880</v>
      </c>
      <c r="B34" t="s">
        <v>328</v>
      </c>
      <c r="C34" t="s">
        <v>329</v>
      </c>
      <c r="D34" t="s">
        <v>64</v>
      </c>
      <c r="E34" t="s">
        <v>65</v>
      </c>
      <c r="F34" t="s">
        <v>66</v>
      </c>
      <c r="G34" t="s">
        <v>67</v>
      </c>
      <c r="H34" t="s">
        <v>68</v>
      </c>
      <c r="I34">
        <v>64000</v>
      </c>
      <c r="J34" t="s">
        <v>69</v>
      </c>
      <c r="K34" t="s">
        <v>70</v>
      </c>
      <c r="L34" t="s">
        <v>71</v>
      </c>
      <c r="M34" t="s">
        <v>72</v>
      </c>
      <c r="N34" t="s">
        <v>73</v>
      </c>
      <c r="O34" t="s">
        <v>74</v>
      </c>
      <c r="P34" t="s">
        <v>75</v>
      </c>
      <c r="Q34">
        <v>1.75</v>
      </c>
      <c r="T34">
        <v>0</v>
      </c>
      <c r="U34" t="s">
        <v>76</v>
      </c>
      <c r="V34" t="s">
        <v>77</v>
      </c>
      <c r="W34" t="s">
        <v>78</v>
      </c>
      <c r="X34">
        <v>1</v>
      </c>
      <c r="Y34">
        <v>1</v>
      </c>
      <c r="AC34">
        <v>42439</v>
      </c>
      <c r="AG34">
        <v>1</v>
      </c>
      <c r="AH34" t="s">
        <v>79</v>
      </c>
      <c r="AI34" s="1">
        <v>10</v>
      </c>
      <c r="AJ34" s="1">
        <v>20</v>
      </c>
      <c r="AK34" s="1">
        <v>20</v>
      </c>
      <c r="AL34" s="1">
        <v>10</v>
      </c>
      <c r="AM34">
        <v>10</v>
      </c>
      <c r="AN34">
        <v>10</v>
      </c>
      <c r="AO34">
        <v>10</v>
      </c>
      <c r="AP34">
        <v>10</v>
      </c>
      <c r="AQ34">
        <v>10</v>
      </c>
      <c r="AT34">
        <v>10</v>
      </c>
      <c r="AU34">
        <v>10</v>
      </c>
      <c r="AV34">
        <v>10</v>
      </c>
      <c r="AW34">
        <v>1</v>
      </c>
      <c r="AX34">
        <f t="shared" si="0"/>
        <v>60</v>
      </c>
      <c r="AY34">
        <v>6</v>
      </c>
      <c r="AZ34">
        <f>AX34*AY34</f>
        <v>360</v>
      </c>
      <c r="BA34">
        <f t="shared" si="2"/>
        <v>48</v>
      </c>
      <c r="BB34">
        <f>AX34*BA34</f>
        <v>2880</v>
      </c>
      <c r="BC34">
        <f>BB34*10</f>
        <v>28800</v>
      </c>
      <c r="BD34">
        <f t="shared" si="25"/>
        <v>5</v>
      </c>
      <c r="BE34">
        <f t="shared" si="25"/>
        <v>10</v>
      </c>
      <c r="BF34">
        <f t="shared" si="25"/>
        <v>10</v>
      </c>
      <c r="BG34">
        <f t="shared" si="25"/>
        <v>5</v>
      </c>
      <c r="BH34">
        <f t="shared" si="25"/>
        <v>5</v>
      </c>
      <c r="BI34">
        <f t="shared" si="25"/>
        <v>5</v>
      </c>
      <c r="BJ34">
        <f t="shared" si="25"/>
        <v>5</v>
      </c>
      <c r="BK34">
        <v>10</v>
      </c>
      <c r="BL34">
        <v>10</v>
      </c>
      <c r="BO34">
        <v>1</v>
      </c>
      <c r="BP34">
        <f t="shared" si="13"/>
        <v>30</v>
      </c>
      <c r="BQ34">
        <v>6</v>
      </c>
      <c r="BR34">
        <f t="shared" si="4"/>
        <v>180</v>
      </c>
      <c r="BS34">
        <f t="shared" si="5"/>
        <v>48</v>
      </c>
      <c r="BT34">
        <f t="shared" si="20"/>
        <v>1440</v>
      </c>
      <c r="BU34">
        <f t="shared" si="14"/>
        <v>14400</v>
      </c>
      <c r="BV34" s="1">
        <v>10</v>
      </c>
      <c r="BW34" s="1">
        <v>20</v>
      </c>
      <c r="BX34" s="1">
        <v>20</v>
      </c>
      <c r="BY34" s="1">
        <v>10</v>
      </c>
      <c r="BZ34">
        <v>10</v>
      </c>
      <c r="CA34">
        <v>5</v>
      </c>
      <c r="CB34">
        <v>10</v>
      </c>
      <c r="CC34">
        <v>10</v>
      </c>
      <c r="CD34">
        <v>10</v>
      </c>
      <c r="CG34">
        <v>1</v>
      </c>
      <c r="CH34">
        <f>SUM(BV34:BY34)</f>
        <v>60</v>
      </c>
      <c r="CI34">
        <v>7</v>
      </c>
      <c r="CJ34">
        <f t="shared" si="23"/>
        <v>35</v>
      </c>
      <c r="CK34">
        <f t="shared" si="7"/>
        <v>48</v>
      </c>
      <c r="CL34">
        <f>CH34*CK34</f>
        <v>2880</v>
      </c>
      <c r="CM34">
        <f>CL34*10</f>
        <v>28800</v>
      </c>
      <c r="CN34">
        <v>15</v>
      </c>
      <c r="CO34">
        <v>60</v>
      </c>
      <c r="CP34">
        <v>20</v>
      </c>
      <c r="CQ34">
        <v>10</v>
      </c>
      <c r="CR34">
        <v>10</v>
      </c>
      <c r="CS34">
        <f t="shared" si="27"/>
        <v>5</v>
      </c>
      <c r="CT34">
        <v>2</v>
      </c>
      <c r="CU34">
        <f>SUM(CN34:CQ34)</f>
        <v>105</v>
      </c>
      <c r="CV34">
        <v>7</v>
      </c>
      <c r="CW34">
        <f>CS34*CV34</f>
        <v>35</v>
      </c>
      <c r="CX34">
        <f t="shared" si="10"/>
        <v>48</v>
      </c>
      <c r="CY34">
        <f>CU34*CX34</f>
        <v>5040</v>
      </c>
      <c r="CZ34">
        <f>CY34*10</f>
        <v>50400</v>
      </c>
    </row>
    <row r="35" spans="1:104" x14ac:dyDescent="0.25">
      <c r="A35">
        <f>BB35</f>
        <v>4320</v>
      </c>
      <c r="B35" t="s">
        <v>330</v>
      </c>
      <c r="C35" t="s">
        <v>331</v>
      </c>
      <c r="D35" t="s">
        <v>332</v>
      </c>
      <c r="E35" t="s">
        <v>333</v>
      </c>
      <c r="F35" t="s">
        <v>334</v>
      </c>
      <c r="G35" t="s">
        <v>335</v>
      </c>
      <c r="H35" t="s">
        <v>68</v>
      </c>
      <c r="I35" t="s">
        <v>336</v>
      </c>
      <c r="J35" t="s">
        <v>69</v>
      </c>
      <c r="K35" t="s">
        <v>337</v>
      </c>
      <c r="L35" t="s">
        <v>338</v>
      </c>
      <c r="M35" t="s">
        <v>339</v>
      </c>
      <c r="N35" t="s">
        <v>340</v>
      </c>
      <c r="O35" t="s">
        <v>74</v>
      </c>
      <c r="P35" t="s">
        <v>75</v>
      </c>
      <c r="Q35">
        <v>2</v>
      </c>
      <c r="T35">
        <v>0</v>
      </c>
      <c r="U35" t="s">
        <v>76</v>
      </c>
      <c r="V35" t="s">
        <v>77</v>
      </c>
      <c r="W35" t="s">
        <v>78</v>
      </c>
      <c r="X35">
        <v>1</v>
      </c>
      <c r="Y35">
        <v>1</v>
      </c>
      <c r="AC35">
        <v>42439</v>
      </c>
      <c r="AG35">
        <v>1</v>
      </c>
      <c r="AH35" t="s">
        <v>79</v>
      </c>
      <c r="AI35" s="1">
        <v>20</v>
      </c>
      <c r="AJ35" s="1">
        <v>40</v>
      </c>
      <c r="AK35" s="1">
        <v>20</v>
      </c>
      <c r="AL35" s="1">
        <v>10</v>
      </c>
      <c r="AM35">
        <v>10</v>
      </c>
      <c r="AN35">
        <v>10</v>
      </c>
      <c r="AO35">
        <v>10</v>
      </c>
      <c r="AP35">
        <v>10</v>
      </c>
      <c r="AQ35">
        <v>10</v>
      </c>
      <c r="AT35">
        <v>10</v>
      </c>
      <c r="AU35">
        <v>10</v>
      </c>
      <c r="AV35">
        <v>10</v>
      </c>
      <c r="AW35">
        <v>1</v>
      </c>
      <c r="AX35">
        <f>SUM(AI35:AL35)</f>
        <v>90</v>
      </c>
      <c r="AY35">
        <v>6</v>
      </c>
      <c r="AZ35">
        <f>AX35*AY35</f>
        <v>540</v>
      </c>
      <c r="BA35">
        <f t="shared" si="2"/>
        <v>48</v>
      </c>
      <c r="BB35">
        <f>AX35*BA35</f>
        <v>4320</v>
      </c>
      <c r="BC35">
        <f>BB35*10</f>
        <v>43200</v>
      </c>
      <c r="BD35">
        <f t="shared" si="25"/>
        <v>10</v>
      </c>
      <c r="BE35">
        <f t="shared" si="25"/>
        <v>20</v>
      </c>
      <c r="BF35">
        <f t="shared" si="25"/>
        <v>10</v>
      </c>
      <c r="BG35">
        <f t="shared" si="25"/>
        <v>5</v>
      </c>
      <c r="BH35">
        <f t="shared" si="25"/>
        <v>5</v>
      </c>
      <c r="BI35">
        <f t="shared" si="25"/>
        <v>5</v>
      </c>
      <c r="BJ35">
        <f t="shared" si="25"/>
        <v>5</v>
      </c>
      <c r="BK35">
        <v>10</v>
      </c>
      <c r="BL35">
        <v>10</v>
      </c>
      <c r="BO35">
        <v>1</v>
      </c>
      <c r="BP35">
        <f>SUM(BD35:BG35)</f>
        <v>45</v>
      </c>
      <c r="BQ35">
        <v>6</v>
      </c>
      <c r="BR35">
        <f>BP35*BQ35</f>
        <v>270</v>
      </c>
      <c r="BS35">
        <f t="shared" si="5"/>
        <v>48</v>
      </c>
      <c r="BT35">
        <f>BP35*BS35</f>
        <v>2160</v>
      </c>
      <c r="BU35">
        <f>BT35*10</f>
        <v>21600</v>
      </c>
      <c r="BV35" s="1">
        <v>20</v>
      </c>
      <c r="BW35" s="1">
        <v>40</v>
      </c>
      <c r="BX35" s="1">
        <v>20</v>
      </c>
      <c r="BY35" s="1">
        <v>10</v>
      </c>
      <c r="BZ35">
        <v>10</v>
      </c>
      <c r="CA35">
        <v>5</v>
      </c>
      <c r="CB35">
        <v>10</v>
      </c>
      <c r="CC35">
        <v>10</v>
      </c>
      <c r="CD35">
        <v>10</v>
      </c>
      <c r="CG35">
        <v>1</v>
      </c>
      <c r="CH35">
        <f>SUM(BV35:BY35)</f>
        <v>90</v>
      </c>
      <c r="CI35">
        <v>7</v>
      </c>
      <c r="CJ35">
        <f>CA35*CI35</f>
        <v>35</v>
      </c>
      <c r="CK35">
        <f t="shared" si="7"/>
        <v>48</v>
      </c>
      <c r="CL35">
        <f>CH35*CK35</f>
        <v>4320</v>
      </c>
      <c r="CM35">
        <f>CL35*10</f>
        <v>43200</v>
      </c>
      <c r="CN35">
        <v>15</v>
      </c>
      <c r="CO35">
        <v>60</v>
      </c>
      <c r="CP35">
        <v>20</v>
      </c>
      <c r="CQ35">
        <v>10</v>
      </c>
      <c r="CR35">
        <v>10</v>
      </c>
      <c r="CS35">
        <f>MROUND(AN35/2,5)</f>
        <v>5</v>
      </c>
      <c r="CT35">
        <v>2</v>
      </c>
      <c r="CU35">
        <f>SUM(CN35:CQ35)</f>
        <v>105</v>
      </c>
      <c r="CV35">
        <v>7</v>
      </c>
      <c r="CW35">
        <f>CS35*CV35</f>
        <v>35</v>
      </c>
      <c r="CX35">
        <f t="shared" si="10"/>
        <v>48</v>
      </c>
      <c r="CY35">
        <f>CU35*CX35</f>
        <v>5040</v>
      </c>
      <c r="CZ35">
        <f>CY35*10</f>
        <v>50400</v>
      </c>
    </row>
    <row r="36" spans="1:104" x14ac:dyDescent="0.25">
      <c r="A36">
        <f t="shared" si="11"/>
        <v>2880</v>
      </c>
      <c r="B36" t="s">
        <v>341</v>
      </c>
      <c r="C36" t="s">
        <v>342</v>
      </c>
      <c r="D36" t="s">
        <v>205</v>
      </c>
      <c r="E36" t="s">
        <v>206</v>
      </c>
      <c r="F36" t="s">
        <v>207</v>
      </c>
      <c r="G36" t="s">
        <v>208</v>
      </c>
      <c r="H36" t="s">
        <v>208</v>
      </c>
      <c r="J36" t="s">
        <v>209</v>
      </c>
      <c r="K36" t="s">
        <v>210</v>
      </c>
      <c r="L36" t="s">
        <v>211</v>
      </c>
      <c r="M36" t="s">
        <v>212</v>
      </c>
      <c r="N36" t="s">
        <v>73</v>
      </c>
      <c r="O36" t="s">
        <v>213</v>
      </c>
      <c r="P36" t="s">
        <v>214</v>
      </c>
      <c r="Q36">
        <v>1.75</v>
      </c>
      <c r="R36" t="s">
        <v>215</v>
      </c>
      <c r="S36" t="s">
        <v>216</v>
      </c>
      <c r="T36">
        <v>1</v>
      </c>
      <c r="U36" t="s">
        <v>76</v>
      </c>
      <c r="V36" t="s">
        <v>217</v>
      </c>
      <c r="W36" t="s">
        <v>203</v>
      </c>
      <c r="X36">
        <v>1</v>
      </c>
      <c r="Y36">
        <v>1</v>
      </c>
      <c r="AB36">
        <v>1</v>
      </c>
      <c r="AC36">
        <v>42439</v>
      </c>
      <c r="AG36">
        <v>1</v>
      </c>
      <c r="AH36" t="s">
        <v>218</v>
      </c>
      <c r="AI36" s="1">
        <v>10</v>
      </c>
      <c r="AJ36" s="1">
        <v>20</v>
      </c>
      <c r="AK36" s="1">
        <v>20</v>
      </c>
      <c r="AL36" s="1">
        <v>10</v>
      </c>
      <c r="AM36">
        <v>10</v>
      </c>
      <c r="AN36">
        <v>10</v>
      </c>
      <c r="AO36">
        <v>10</v>
      </c>
      <c r="AP36">
        <v>10</v>
      </c>
      <c r="AQ36">
        <v>10</v>
      </c>
      <c r="AT36">
        <v>10</v>
      </c>
      <c r="AU36">
        <v>10</v>
      </c>
      <c r="AV36">
        <v>10</v>
      </c>
      <c r="AW36">
        <v>1</v>
      </c>
      <c r="AX36">
        <f t="shared" si="0"/>
        <v>60</v>
      </c>
      <c r="AY36">
        <v>6</v>
      </c>
      <c r="AZ36">
        <f>AX36*AY36</f>
        <v>360</v>
      </c>
      <c r="BA36">
        <f t="shared" si="2"/>
        <v>48</v>
      </c>
      <c r="BB36">
        <f>AX36*BA36</f>
        <v>2880</v>
      </c>
      <c r="BC36">
        <f>BB36*10</f>
        <v>28800</v>
      </c>
      <c r="BD36">
        <f t="shared" si="25"/>
        <v>5</v>
      </c>
      <c r="BE36">
        <f t="shared" si="25"/>
        <v>10</v>
      </c>
      <c r="BF36">
        <f t="shared" si="25"/>
        <v>10</v>
      </c>
      <c r="BG36">
        <f t="shared" si="25"/>
        <v>5</v>
      </c>
      <c r="BH36">
        <f t="shared" si="25"/>
        <v>5</v>
      </c>
      <c r="BI36">
        <f t="shared" si="25"/>
        <v>5</v>
      </c>
      <c r="BJ36">
        <f t="shared" si="25"/>
        <v>5</v>
      </c>
      <c r="BK36">
        <v>10</v>
      </c>
      <c r="BL36">
        <v>10</v>
      </c>
      <c r="BO36">
        <v>1</v>
      </c>
      <c r="BP36">
        <f t="shared" si="13"/>
        <v>30</v>
      </c>
      <c r="BQ36">
        <v>6</v>
      </c>
      <c r="BR36">
        <f t="shared" si="4"/>
        <v>180</v>
      </c>
      <c r="BS36">
        <f t="shared" si="5"/>
        <v>48</v>
      </c>
      <c r="BT36">
        <f t="shared" si="20"/>
        <v>1440</v>
      </c>
      <c r="BU36">
        <f t="shared" si="14"/>
        <v>14400</v>
      </c>
      <c r="BV36" s="1">
        <v>10</v>
      </c>
      <c r="BW36" s="1">
        <v>20</v>
      </c>
      <c r="BX36" s="1">
        <v>20</v>
      </c>
      <c r="BY36" s="1">
        <v>10</v>
      </c>
      <c r="BZ36">
        <v>10</v>
      </c>
      <c r="CA36">
        <v>5</v>
      </c>
      <c r="CB36">
        <v>10</v>
      </c>
      <c r="CC36">
        <v>10</v>
      </c>
      <c r="CD36">
        <v>10</v>
      </c>
      <c r="CG36">
        <v>1</v>
      </c>
      <c r="CH36">
        <f>SUM(BV36:BY36)</f>
        <v>60</v>
      </c>
      <c r="CI36">
        <v>8</v>
      </c>
      <c r="CJ36">
        <f t="shared" si="23"/>
        <v>40</v>
      </c>
      <c r="CK36">
        <f t="shared" si="7"/>
        <v>48</v>
      </c>
      <c r="CL36">
        <f>CH36*CK36</f>
        <v>2880</v>
      </c>
      <c r="CM36">
        <f>CL36*10</f>
        <v>28800</v>
      </c>
      <c r="CN36">
        <v>15</v>
      </c>
      <c r="CO36">
        <v>60</v>
      </c>
      <c r="CP36">
        <v>20</v>
      </c>
      <c r="CQ36">
        <v>10</v>
      </c>
      <c r="CR36">
        <v>10</v>
      </c>
      <c r="CS36">
        <f t="shared" si="27"/>
        <v>5</v>
      </c>
      <c r="CT36">
        <v>3</v>
      </c>
      <c r="CU36">
        <f>SUM(CN36:CQ36)</f>
        <v>105</v>
      </c>
      <c r="CV36">
        <v>8</v>
      </c>
      <c r="CW36">
        <f>CS36*CV36</f>
        <v>40</v>
      </c>
      <c r="CX36">
        <f t="shared" si="10"/>
        <v>48</v>
      </c>
      <c r="CY36">
        <f>CU36*CX36</f>
        <v>5040</v>
      </c>
      <c r="CZ36">
        <f>CY36*10</f>
        <v>50400</v>
      </c>
    </row>
    <row r="37" spans="1:104" x14ac:dyDescent="0.25">
      <c r="A37">
        <f t="shared" si="11"/>
        <v>4320</v>
      </c>
      <c r="B37" t="s">
        <v>343</v>
      </c>
      <c r="C37" t="s">
        <v>344</v>
      </c>
      <c r="D37" t="s">
        <v>345</v>
      </c>
      <c r="E37" t="s">
        <v>346</v>
      </c>
      <c r="G37" t="s">
        <v>347</v>
      </c>
      <c r="H37" t="s">
        <v>347</v>
      </c>
      <c r="I37">
        <v>163027</v>
      </c>
      <c r="J37" t="s">
        <v>348</v>
      </c>
      <c r="K37" t="s">
        <v>349</v>
      </c>
      <c r="L37" t="s">
        <v>350</v>
      </c>
      <c r="M37" t="s">
        <v>351</v>
      </c>
      <c r="N37" t="s">
        <v>90</v>
      </c>
      <c r="O37" t="s">
        <v>74</v>
      </c>
      <c r="P37" t="s">
        <v>352</v>
      </c>
      <c r="Q37">
        <v>2</v>
      </c>
      <c r="T37">
        <v>0</v>
      </c>
      <c r="U37" t="s">
        <v>76</v>
      </c>
      <c r="V37" t="s">
        <v>353</v>
      </c>
      <c r="W37" t="s">
        <v>354</v>
      </c>
      <c r="X37">
        <v>1</v>
      </c>
      <c r="Y37">
        <v>1</v>
      </c>
      <c r="AC37">
        <v>42439</v>
      </c>
      <c r="AG37">
        <v>1</v>
      </c>
      <c r="AH37" t="s">
        <v>355</v>
      </c>
      <c r="AI37" s="1">
        <v>20</v>
      </c>
      <c r="AJ37" s="1">
        <v>30</v>
      </c>
      <c r="AK37" s="1">
        <v>30</v>
      </c>
      <c r="AL37" s="1">
        <v>10</v>
      </c>
      <c r="AM37">
        <v>10</v>
      </c>
      <c r="AN37">
        <v>10</v>
      </c>
      <c r="AO37">
        <v>10</v>
      </c>
      <c r="AP37">
        <v>10</v>
      </c>
      <c r="AQ37">
        <v>10</v>
      </c>
      <c r="AT37">
        <v>10</v>
      </c>
      <c r="AU37">
        <v>10</v>
      </c>
      <c r="AV37">
        <v>10</v>
      </c>
      <c r="AX37">
        <f t="shared" ref="AX37" si="28">SUM(AI37:AL37)</f>
        <v>90</v>
      </c>
      <c r="AY37">
        <v>6</v>
      </c>
      <c r="AZ37">
        <f t="shared" ref="AZ37" si="29">AX37*AY37</f>
        <v>540</v>
      </c>
      <c r="BA37">
        <f t="shared" si="2"/>
        <v>48</v>
      </c>
      <c r="BB37">
        <f t="shared" ref="BB37" si="30">AX37*BA37</f>
        <v>4320</v>
      </c>
      <c r="BC37">
        <f t="shared" ref="BC37" si="31">BB37*10</f>
        <v>43200</v>
      </c>
      <c r="BD37">
        <f t="shared" si="25"/>
        <v>10</v>
      </c>
      <c r="BE37">
        <f t="shared" si="25"/>
        <v>15</v>
      </c>
      <c r="BF37">
        <f t="shared" si="25"/>
        <v>15</v>
      </c>
      <c r="BG37">
        <f t="shared" si="25"/>
        <v>5</v>
      </c>
      <c r="BH37">
        <f t="shared" si="25"/>
        <v>5</v>
      </c>
      <c r="BI37">
        <f t="shared" si="25"/>
        <v>5</v>
      </c>
      <c r="BJ37">
        <f t="shared" si="25"/>
        <v>5</v>
      </c>
      <c r="BK37">
        <v>0</v>
      </c>
      <c r="BL37">
        <v>0</v>
      </c>
      <c r="BP37">
        <f t="shared" si="13"/>
        <v>45</v>
      </c>
      <c r="BQ37">
        <v>6</v>
      </c>
      <c r="BR37">
        <f t="shared" si="4"/>
        <v>270</v>
      </c>
      <c r="BS37">
        <f t="shared" si="5"/>
        <v>48</v>
      </c>
      <c r="BT37">
        <f t="shared" si="20"/>
        <v>2160</v>
      </c>
      <c r="BU37">
        <f t="shared" si="14"/>
        <v>21600</v>
      </c>
      <c r="BV37" s="1">
        <v>20</v>
      </c>
      <c r="BW37" s="1">
        <v>30</v>
      </c>
      <c r="BX37" s="1">
        <v>30</v>
      </c>
      <c r="BY37" s="1">
        <v>10</v>
      </c>
      <c r="BZ37">
        <v>0</v>
      </c>
      <c r="CA37">
        <v>0</v>
      </c>
      <c r="CB37">
        <v>0</v>
      </c>
      <c r="CC37">
        <v>0</v>
      </c>
      <c r="CD37">
        <v>0</v>
      </c>
      <c r="CH37">
        <f t="shared" ref="CH37" si="32">SUM(BV37:BY37)</f>
        <v>90</v>
      </c>
      <c r="CI37">
        <v>6</v>
      </c>
      <c r="CJ37">
        <f t="shared" si="23"/>
        <v>0</v>
      </c>
      <c r="CK37">
        <f t="shared" si="7"/>
        <v>48</v>
      </c>
      <c r="CL37">
        <f t="shared" ref="CL37" si="33">CH37*CK37</f>
        <v>4320</v>
      </c>
      <c r="CM37">
        <f t="shared" ref="CM37" si="34">CL37*10</f>
        <v>43200</v>
      </c>
      <c r="CU37">
        <f t="shared" ref="CU37" si="35">SUM(CN37:CQ37)</f>
        <v>0</v>
      </c>
      <c r="CV37">
        <v>6</v>
      </c>
      <c r="CW37">
        <f t="shared" ref="CW37" si="36">CS37*CV37</f>
        <v>0</v>
      </c>
      <c r="CX37">
        <f t="shared" si="10"/>
        <v>48</v>
      </c>
      <c r="CY37">
        <f t="shared" ref="CY37" si="37">CU37*CX37</f>
        <v>0</v>
      </c>
      <c r="CZ37">
        <f t="shared" ref="CZ37" si="38">CY37*10</f>
        <v>0</v>
      </c>
    </row>
    <row r="38" spans="1:104" x14ac:dyDescent="0.25">
      <c r="A38">
        <f t="shared" si="11"/>
        <v>0</v>
      </c>
      <c r="B38" t="s">
        <v>356</v>
      </c>
      <c r="C38" t="s">
        <v>357</v>
      </c>
      <c r="D38" t="s">
        <v>358</v>
      </c>
      <c r="E38" t="s">
        <v>359</v>
      </c>
      <c r="F38" t="s">
        <v>360</v>
      </c>
      <c r="G38" t="s">
        <v>361</v>
      </c>
      <c r="H38" t="s">
        <v>86</v>
      </c>
      <c r="I38">
        <v>47100</v>
      </c>
      <c r="J38" t="s">
        <v>69</v>
      </c>
      <c r="K38" t="s">
        <v>362</v>
      </c>
      <c r="L38" t="s">
        <v>363</v>
      </c>
      <c r="M38" t="s">
        <v>364</v>
      </c>
      <c r="N38" t="s">
        <v>90</v>
      </c>
      <c r="O38" t="s">
        <v>74</v>
      </c>
      <c r="P38" t="s">
        <v>75</v>
      </c>
      <c r="Q38">
        <v>1.75</v>
      </c>
      <c r="T38">
        <v>0</v>
      </c>
      <c r="U38" t="s">
        <v>76</v>
      </c>
      <c r="V38" t="s">
        <v>77</v>
      </c>
      <c r="W38" t="s">
        <v>78</v>
      </c>
      <c r="X38">
        <v>1</v>
      </c>
      <c r="Y38">
        <v>1</v>
      </c>
      <c r="AC38">
        <v>42439</v>
      </c>
      <c r="AG38">
        <v>1</v>
      </c>
      <c r="AH38" t="s">
        <v>79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T38">
        <v>0</v>
      </c>
      <c r="AU38">
        <v>0</v>
      </c>
      <c r="AV38">
        <v>0</v>
      </c>
      <c r="AX38">
        <f t="shared" si="0"/>
        <v>0</v>
      </c>
      <c r="AY38">
        <v>6</v>
      </c>
      <c r="AZ38">
        <f t="shared" si="1"/>
        <v>0</v>
      </c>
      <c r="BA38">
        <f t="shared" si="2"/>
        <v>48</v>
      </c>
      <c r="BB38">
        <f t="shared" si="19"/>
        <v>0</v>
      </c>
      <c r="BC38">
        <f t="shared" si="12"/>
        <v>0</v>
      </c>
      <c r="BD38">
        <f t="shared" si="25"/>
        <v>0</v>
      </c>
      <c r="BE38">
        <f t="shared" si="25"/>
        <v>0</v>
      </c>
      <c r="BF38">
        <f t="shared" si="25"/>
        <v>0</v>
      </c>
      <c r="BG38">
        <f t="shared" si="25"/>
        <v>0</v>
      </c>
      <c r="BH38">
        <f t="shared" si="25"/>
        <v>0</v>
      </c>
      <c r="BI38">
        <f t="shared" si="25"/>
        <v>0</v>
      </c>
      <c r="BJ38">
        <f t="shared" si="25"/>
        <v>0</v>
      </c>
      <c r="BK38">
        <v>0</v>
      </c>
      <c r="BL38">
        <v>0</v>
      </c>
      <c r="BP38">
        <f t="shared" si="13"/>
        <v>0</v>
      </c>
      <c r="BQ38">
        <v>6</v>
      </c>
      <c r="BR38">
        <f t="shared" si="4"/>
        <v>0</v>
      </c>
      <c r="BS38">
        <f t="shared" si="5"/>
        <v>48</v>
      </c>
      <c r="BT38">
        <f t="shared" si="20"/>
        <v>0</v>
      </c>
      <c r="BU38">
        <f t="shared" si="14"/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H38">
        <f t="shared" si="15"/>
        <v>0</v>
      </c>
      <c r="CI38">
        <v>6</v>
      </c>
      <c r="CJ38">
        <f t="shared" si="23"/>
        <v>0</v>
      </c>
      <c r="CK38">
        <f t="shared" si="7"/>
        <v>48</v>
      </c>
      <c r="CL38">
        <f t="shared" si="21"/>
        <v>0</v>
      </c>
      <c r="CM38">
        <f t="shared" si="16"/>
        <v>0</v>
      </c>
      <c r="CN38">
        <f t="shared" ref="CN38:CR41" si="39">MROUND(AI38/2,5)</f>
        <v>0</v>
      </c>
      <c r="CO38">
        <f t="shared" si="39"/>
        <v>0</v>
      </c>
      <c r="CP38">
        <f t="shared" si="39"/>
        <v>0</v>
      </c>
      <c r="CQ38">
        <f t="shared" si="39"/>
        <v>0</v>
      </c>
      <c r="CR38">
        <f t="shared" si="39"/>
        <v>0</v>
      </c>
      <c r="CS38">
        <f t="shared" si="27"/>
        <v>0</v>
      </c>
      <c r="CU38">
        <f t="shared" si="17"/>
        <v>0</v>
      </c>
      <c r="CV38">
        <v>6</v>
      </c>
      <c r="CW38">
        <f t="shared" si="24"/>
        <v>0</v>
      </c>
      <c r="CX38">
        <f t="shared" si="10"/>
        <v>48</v>
      </c>
      <c r="CY38">
        <f t="shared" si="22"/>
        <v>0</v>
      </c>
      <c r="CZ38">
        <f t="shared" si="18"/>
        <v>0</v>
      </c>
    </row>
    <row r="39" spans="1:104" x14ac:dyDescent="0.25">
      <c r="A39">
        <f t="shared" si="11"/>
        <v>0</v>
      </c>
      <c r="B39" t="s">
        <v>365</v>
      </c>
      <c r="C39" t="s">
        <v>366</v>
      </c>
      <c r="D39" t="s">
        <v>367</v>
      </c>
      <c r="E39" t="s">
        <v>368</v>
      </c>
      <c r="F39" t="s">
        <v>369</v>
      </c>
      <c r="G39" t="s">
        <v>370</v>
      </c>
      <c r="H39" t="s">
        <v>371</v>
      </c>
      <c r="I39" t="s">
        <v>372</v>
      </c>
      <c r="J39" t="s">
        <v>107</v>
      </c>
      <c r="K39" t="s">
        <v>367</v>
      </c>
      <c r="L39" t="s">
        <v>373</v>
      </c>
      <c r="M39" t="s">
        <v>374</v>
      </c>
      <c r="N39" t="s">
        <v>90</v>
      </c>
      <c r="O39" t="s">
        <v>111</v>
      </c>
      <c r="P39" t="s">
        <v>75</v>
      </c>
      <c r="Q39">
        <v>1.75</v>
      </c>
      <c r="T39">
        <v>0</v>
      </c>
      <c r="U39" t="s">
        <v>76</v>
      </c>
      <c r="V39" t="s">
        <v>77</v>
      </c>
      <c r="W39" t="s">
        <v>78</v>
      </c>
      <c r="X39">
        <v>1</v>
      </c>
      <c r="Y39">
        <v>1</v>
      </c>
      <c r="AC39">
        <v>42439</v>
      </c>
      <c r="AG39">
        <v>1</v>
      </c>
      <c r="AH39" t="s">
        <v>79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S39">
        <f>SUM(AS25:AS32)</f>
        <v>150</v>
      </c>
      <c r="AT39">
        <v>0</v>
      </c>
      <c r="AU39">
        <v>0</v>
      </c>
      <c r="AV39">
        <v>0</v>
      </c>
      <c r="AX39">
        <f t="shared" si="0"/>
        <v>0</v>
      </c>
      <c r="AY39">
        <v>6</v>
      </c>
      <c r="AZ39">
        <f t="shared" si="1"/>
        <v>0</v>
      </c>
      <c r="BA39">
        <f t="shared" si="2"/>
        <v>48</v>
      </c>
      <c r="BB39">
        <f t="shared" si="19"/>
        <v>0</v>
      </c>
      <c r="BC39">
        <f t="shared" si="12"/>
        <v>0</v>
      </c>
      <c r="BD39">
        <f t="shared" si="25"/>
        <v>0</v>
      </c>
      <c r="BE39">
        <f t="shared" si="25"/>
        <v>0</v>
      </c>
      <c r="BF39">
        <f t="shared" si="25"/>
        <v>0</v>
      </c>
      <c r="BG39">
        <f t="shared" si="25"/>
        <v>0</v>
      </c>
      <c r="BH39">
        <f t="shared" si="25"/>
        <v>0</v>
      </c>
      <c r="BI39">
        <f t="shared" si="25"/>
        <v>0</v>
      </c>
      <c r="BJ39">
        <f t="shared" si="25"/>
        <v>0</v>
      </c>
      <c r="BK39">
        <v>0</v>
      </c>
      <c r="BL39">
        <v>0</v>
      </c>
      <c r="BN39">
        <f>SUM(BN25:BN32)</f>
        <v>75</v>
      </c>
      <c r="BP39">
        <f t="shared" si="13"/>
        <v>0</v>
      </c>
      <c r="BQ39">
        <v>6</v>
      </c>
      <c r="BR39">
        <f t="shared" si="4"/>
        <v>0</v>
      </c>
      <c r="BS39">
        <f t="shared" si="5"/>
        <v>48</v>
      </c>
      <c r="BT39">
        <f t="shared" si="20"/>
        <v>0</v>
      </c>
      <c r="BU39">
        <f t="shared" si="14"/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F39">
        <f>SUM(CF25:CF32)</f>
        <v>150</v>
      </c>
      <c r="CH39">
        <f t="shared" si="15"/>
        <v>0</v>
      </c>
      <c r="CI39">
        <v>6</v>
      </c>
      <c r="CJ39">
        <f t="shared" si="23"/>
        <v>0</v>
      </c>
      <c r="CK39">
        <f t="shared" si="7"/>
        <v>48</v>
      </c>
      <c r="CL39">
        <f t="shared" si="21"/>
        <v>0</v>
      </c>
      <c r="CM39">
        <f t="shared" si="16"/>
        <v>0</v>
      </c>
      <c r="CN39">
        <f t="shared" si="39"/>
        <v>0</v>
      </c>
      <c r="CO39">
        <f t="shared" si="39"/>
        <v>0</v>
      </c>
      <c r="CP39">
        <f t="shared" si="39"/>
        <v>0</v>
      </c>
      <c r="CQ39">
        <f t="shared" si="39"/>
        <v>0</v>
      </c>
      <c r="CR39">
        <f t="shared" si="39"/>
        <v>0</v>
      </c>
      <c r="CS39">
        <f t="shared" si="27"/>
        <v>0</v>
      </c>
      <c r="CU39">
        <f t="shared" si="17"/>
        <v>0</v>
      </c>
      <c r="CV39">
        <v>6</v>
      </c>
      <c r="CW39">
        <f t="shared" si="24"/>
        <v>0</v>
      </c>
      <c r="CX39">
        <f t="shared" si="10"/>
        <v>48</v>
      </c>
      <c r="CY39">
        <f t="shared" si="22"/>
        <v>0</v>
      </c>
      <c r="CZ39">
        <f t="shared" si="18"/>
        <v>0</v>
      </c>
    </row>
    <row r="40" spans="1:104" x14ac:dyDescent="0.25">
      <c r="A40">
        <f t="shared" si="11"/>
        <v>0</v>
      </c>
      <c r="B40" t="s">
        <v>375</v>
      </c>
      <c r="C40" t="s">
        <v>376</v>
      </c>
      <c r="D40" t="s">
        <v>377</v>
      </c>
      <c r="E40" t="s">
        <v>378</v>
      </c>
      <c r="F40" t="s">
        <v>379</v>
      </c>
      <c r="G40" t="s">
        <v>380</v>
      </c>
      <c r="H40" t="s">
        <v>380</v>
      </c>
      <c r="J40" t="s">
        <v>381</v>
      </c>
      <c r="K40" t="s">
        <v>382</v>
      </c>
      <c r="L40" t="s">
        <v>383</v>
      </c>
      <c r="M40" t="s">
        <v>384</v>
      </c>
      <c r="N40" t="s">
        <v>90</v>
      </c>
      <c r="O40" t="s">
        <v>111</v>
      </c>
      <c r="P40" t="s">
        <v>385</v>
      </c>
      <c r="Q40">
        <v>4</v>
      </c>
      <c r="U40" t="s">
        <v>386</v>
      </c>
      <c r="V40" t="s">
        <v>387</v>
      </c>
      <c r="W40" t="s">
        <v>375</v>
      </c>
      <c r="X40">
        <v>1</v>
      </c>
      <c r="Y40">
        <v>1</v>
      </c>
      <c r="AC40">
        <v>42439</v>
      </c>
      <c r="AG40">
        <v>1</v>
      </c>
      <c r="AH40" t="s">
        <v>388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T40">
        <v>0</v>
      </c>
      <c r="AU40">
        <v>0</v>
      </c>
      <c r="AV40">
        <v>0</v>
      </c>
      <c r="AX40">
        <f t="shared" si="0"/>
        <v>0</v>
      </c>
      <c r="AY40">
        <v>6</v>
      </c>
      <c r="AZ40">
        <f t="shared" si="1"/>
        <v>0</v>
      </c>
      <c r="BA40">
        <f t="shared" si="2"/>
        <v>48</v>
      </c>
      <c r="BB40">
        <f t="shared" si="19"/>
        <v>0</v>
      </c>
      <c r="BC40">
        <f t="shared" si="12"/>
        <v>0</v>
      </c>
      <c r="BD40">
        <f t="shared" si="25"/>
        <v>0</v>
      </c>
      <c r="BE40">
        <f t="shared" si="25"/>
        <v>0</v>
      </c>
      <c r="BF40">
        <f t="shared" si="25"/>
        <v>0</v>
      </c>
      <c r="BG40">
        <f t="shared" si="25"/>
        <v>0</v>
      </c>
      <c r="BH40">
        <f t="shared" si="25"/>
        <v>0</v>
      </c>
      <c r="BI40">
        <f t="shared" si="25"/>
        <v>0</v>
      </c>
      <c r="BJ40">
        <f t="shared" si="25"/>
        <v>0</v>
      </c>
      <c r="BK40">
        <v>0</v>
      </c>
      <c r="BL40">
        <v>0</v>
      </c>
      <c r="BP40">
        <f t="shared" si="13"/>
        <v>0</v>
      </c>
      <c r="BQ40">
        <v>6</v>
      </c>
      <c r="BR40">
        <f t="shared" si="4"/>
        <v>0</v>
      </c>
      <c r="BS40">
        <f t="shared" si="5"/>
        <v>48</v>
      </c>
      <c r="BT40">
        <f t="shared" si="20"/>
        <v>0</v>
      </c>
      <c r="BU40">
        <f t="shared" si="14"/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H40">
        <f t="shared" si="15"/>
        <v>0</v>
      </c>
      <c r="CI40">
        <v>6</v>
      </c>
      <c r="CJ40">
        <f t="shared" si="23"/>
        <v>0</v>
      </c>
      <c r="CK40">
        <f t="shared" si="7"/>
        <v>48</v>
      </c>
      <c r="CL40">
        <f t="shared" si="21"/>
        <v>0</v>
      </c>
      <c r="CM40">
        <f t="shared" si="16"/>
        <v>0</v>
      </c>
      <c r="CN40">
        <f t="shared" si="39"/>
        <v>0</v>
      </c>
      <c r="CO40">
        <f t="shared" si="39"/>
        <v>0</v>
      </c>
      <c r="CP40">
        <f t="shared" si="39"/>
        <v>0</v>
      </c>
      <c r="CQ40">
        <f t="shared" si="39"/>
        <v>0</v>
      </c>
      <c r="CR40">
        <f t="shared" si="39"/>
        <v>0</v>
      </c>
      <c r="CS40">
        <f t="shared" si="27"/>
        <v>0</v>
      </c>
      <c r="CU40">
        <f t="shared" si="17"/>
        <v>0</v>
      </c>
      <c r="CV40">
        <v>6</v>
      </c>
      <c r="CW40">
        <f t="shared" si="24"/>
        <v>0</v>
      </c>
      <c r="CX40">
        <f t="shared" si="10"/>
        <v>48</v>
      </c>
      <c r="CY40">
        <f t="shared" si="22"/>
        <v>0</v>
      </c>
      <c r="CZ40">
        <f t="shared" si="18"/>
        <v>0</v>
      </c>
    </row>
    <row r="41" spans="1:104" x14ac:dyDescent="0.25">
      <c r="A41">
        <f t="shared" si="11"/>
        <v>0</v>
      </c>
      <c r="B41" t="s">
        <v>389</v>
      </c>
      <c r="C41" t="s">
        <v>390</v>
      </c>
      <c r="D41" t="s">
        <v>391</v>
      </c>
      <c r="E41" t="s">
        <v>392</v>
      </c>
      <c r="G41" t="s">
        <v>393</v>
      </c>
      <c r="H41" t="s">
        <v>394</v>
      </c>
      <c r="J41" t="s">
        <v>395</v>
      </c>
      <c r="K41" t="s">
        <v>396</v>
      </c>
      <c r="L41" t="s">
        <v>397</v>
      </c>
      <c r="M41" t="s">
        <v>398</v>
      </c>
      <c r="N41" t="s">
        <v>90</v>
      </c>
      <c r="O41" t="s">
        <v>111</v>
      </c>
      <c r="P41" t="s">
        <v>399</v>
      </c>
      <c r="Q41">
        <v>3</v>
      </c>
      <c r="U41" t="s">
        <v>386</v>
      </c>
      <c r="V41" t="s">
        <v>400</v>
      </c>
      <c r="W41" t="s">
        <v>389</v>
      </c>
      <c r="X41">
        <v>1</v>
      </c>
      <c r="Y41">
        <v>1</v>
      </c>
      <c r="AC41">
        <v>42439</v>
      </c>
      <c r="AG41">
        <v>1</v>
      </c>
      <c r="AH41" t="s">
        <v>401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T41">
        <v>0</v>
      </c>
      <c r="AU41">
        <v>0</v>
      </c>
      <c r="AV41">
        <v>0</v>
      </c>
      <c r="AX41">
        <f t="shared" si="0"/>
        <v>0</v>
      </c>
      <c r="AY41">
        <v>6</v>
      </c>
      <c r="AZ41">
        <f t="shared" si="1"/>
        <v>0</v>
      </c>
      <c r="BA41">
        <f t="shared" si="2"/>
        <v>48</v>
      </c>
      <c r="BB41">
        <f t="shared" si="19"/>
        <v>0</v>
      </c>
      <c r="BC41">
        <f t="shared" si="12"/>
        <v>0</v>
      </c>
      <c r="BD41">
        <f t="shared" si="25"/>
        <v>0</v>
      </c>
      <c r="BE41">
        <f t="shared" si="25"/>
        <v>0</v>
      </c>
      <c r="BF41">
        <f t="shared" si="25"/>
        <v>0</v>
      </c>
      <c r="BG41">
        <f t="shared" si="25"/>
        <v>0</v>
      </c>
      <c r="BH41">
        <f t="shared" si="25"/>
        <v>0</v>
      </c>
      <c r="BI41">
        <f t="shared" si="25"/>
        <v>0</v>
      </c>
      <c r="BJ41">
        <f t="shared" si="25"/>
        <v>0</v>
      </c>
      <c r="BK41">
        <v>0</v>
      </c>
      <c r="BL41">
        <v>0</v>
      </c>
      <c r="BP41">
        <f t="shared" si="13"/>
        <v>0</v>
      </c>
      <c r="BQ41">
        <v>6</v>
      </c>
      <c r="BR41">
        <f t="shared" si="4"/>
        <v>0</v>
      </c>
      <c r="BS41">
        <f t="shared" si="5"/>
        <v>48</v>
      </c>
      <c r="BT41">
        <f t="shared" si="20"/>
        <v>0</v>
      </c>
      <c r="BU41">
        <f t="shared" si="14"/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H41">
        <f t="shared" si="15"/>
        <v>0</v>
      </c>
      <c r="CI41">
        <v>6</v>
      </c>
      <c r="CJ41">
        <f t="shared" si="23"/>
        <v>0</v>
      </c>
      <c r="CK41">
        <f t="shared" si="7"/>
        <v>48</v>
      </c>
      <c r="CL41">
        <f t="shared" si="21"/>
        <v>0</v>
      </c>
      <c r="CM41">
        <f t="shared" si="16"/>
        <v>0</v>
      </c>
      <c r="CN41">
        <f t="shared" si="39"/>
        <v>0</v>
      </c>
      <c r="CO41">
        <f t="shared" si="39"/>
        <v>0</v>
      </c>
      <c r="CP41">
        <f t="shared" si="39"/>
        <v>0</v>
      </c>
      <c r="CQ41">
        <f t="shared" si="39"/>
        <v>0</v>
      </c>
      <c r="CR41">
        <f t="shared" si="39"/>
        <v>0</v>
      </c>
      <c r="CS41">
        <f t="shared" si="27"/>
        <v>0</v>
      </c>
      <c r="CU41">
        <f t="shared" si="17"/>
        <v>0</v>
      </c>
      <c r="CV41">
        <v>6</v>
      </c>
      <c r="CW41">
        <f t="shared" si="24"/>
        <v>0</v>
      </c>
      <c r="CX41">
        <f t="shared" si="10"/>
        <v>48</v>
      </c>
      <c r="CY41">
        <f t="shared" si="22"/>
        <v>0</v>
      </c>
      <c r="CZ41">
        <f t="shared" si="18"/>
        <v>0</v>
      </c>
    </row>
    <row r="42" spans="1:104" x14ac:dyDescent="0.25">
      <c r="A42">
        <f t="shared" si="11"/>
        <v>0</v>
      </c>
      <c r="B42" t="s">
        <v>402</v>
      </c>
      <c r="C42" t="s">
        <v>403</v>
      </c>
      <c r="D42" t="s">
        <v>404</v>
      </c>
      <c r="E42" t="s">
        <v>405</v>
      </c>
      <c r="F42" t="s">
        <v>406</v>
      </c>
      <c r="G42" t="s">
        <v>407</v>
      </c>
      <c r="H42" t="s">
        <v>408</v>
      </c>
      <c r="I42">
        <v>16100</v>
      </c>
      <c r="J42" t="s">
        <v>107</v>
      </c>
      <c r="K42" t="s">
        <v>409</v>
      </c>
      <c r="L42" t="s">
        <v>410</v>
      </c>
      <c r="M42" t="s">
        <v>411</v>
      </c>
      <c r="N42" t="s">
        <v>90</v>
      </c>
      <c r="O42" t="s">
        <v>111</v>
      </c>
      <c r="P42" t="s">
        <v>75</v>
      </c>
      <c r="Q42">
        <v>1.75</v>
      </c>
      <c r="T42">
        <v>0</v>
      </c>
      <c r="U42" t="s">
        <v>76</v>
      </c>
      <c r="V42" t="s">
        <v>77</v>
      </c>
      <c r="W42" t="s">
        <v>78</v>
      </c>
      <c r="X42">
        <v>1</v>
      </c>
      <c r="Y42">
        <v>1</v>
      </c>
      <c r="AC42">
        <v>42440</v>
      </c>
      <c r="AG42">
        <v>1</v>
      </c>
      <c r="AH42" t="s">
        <v>79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T42">
        <v>0</v>
      </c>
      <c r="AU42">
        <v>0</v>
      </c>
      <c r="AV42">
        <v>0</v>
      </c>
      <c r="AX42">
        <f t="shared" si="0"/>
        <v>0</v>
      </c>
      <c r="AY42">
        <v>6</v>
      </c>
      <c r="AZ42">
        <f t="shared" si="1"/>
        <v>0</v>
      </c>
      <c r="BA42">
        <f t="shared" si="2"/>
        <v>48</v>
      </c>
      <c r="BB42">
        <f t="shared" si="19"/>
        <v>0</v>
      </c>
      <c r="BC42">
        <f t="shared" si="12"/>
        <v>0</v>
      </c>
      <c r="BD42">
        <f t="shared" si="25"/>
        <v>0</v>
      </c>
      <c r="BE42">
        <f t="shared" si="25"/>
        <v>0</v>
      </c>
      <c r="BF42">
        <f t="shared" si="25"/>
        <v>0</v>
      </c>
      <c r="BG42">
        <f t="shared" si="25"/>
        <v>0</v>
      </c>
      <c r="BH42">
        <f t="shared" si="25"/>
        <v>0</v>
      </c>
      <c r="BI42">
        <f t="shared" si="25"/>
        <v>0</v>
      </c>
      <c r="BJ42">
        <f t="shared" si="25"/>
        <v>0</v>
      </c>
      <c r="BK42">
        <v>0</v>
      </c>
      <c r="BL42">
        <v>0</v>
      </c>
      <c r="BP42">
        <f t="shared" si="13"/>
        <v>0</v>
      </c>
      <c r="BQ42">
        <v>6</v>
      </c>
      <c r="BR42">
        <f t="shared" si="4"/>
        <v>0</v>
      </c>
      <c r="BS42">
        <f t="shared" si="5"/>
        <v>48</v>
      </c>
      <c r="BT42">
        <f t="shared" si="20"/>
        <v>0</v>
      </c>
      <c r="BU42">
        <f t="shared" si="14"/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H42">
        <f t="shared" si="15"/>
        <v>0</v>
      </c>
      <c r="CI42">
        <v>6</v>
      </c>
      <c r="CJ42">
        <f t="shared" si="23"/>
        <v>0</v>
      </c>
      <c r="CK42">
        <f t="shared" si="7"/>
        <v>48</v>
      </c>
      <c r="CL42">
        <f t="shared" si="21"/>
        <v>0</v>
      </c>
      <c r="CM42">
        <f t="shared" si="16"/>
        <v>0</v>
      </c>
      <c r="CN42">
        <f>MROUND(AI42/2,5)</f>
        <v>0</v>
      </c>
      <c r="CU42">
        <f t="shared" si="17"/>
        <v>0</v>
      </c>
      <c r="CV42">
        <v>6</v>
      </c>
      <c r="CW42">
        <f t="shared" si="24"/>
        <v>0</v>
      </c>
      <c r="CX42">
        <f t="shared" si="10"/>
        <v>48</v>
      </c>
      <c r="CY42">
        <f t="shared" si="22"/>
        <v>0</v>
      </c>
      <c r="CZ42">
        <f t="shared" si="18"/>
        <v>0</v>
      </c>
    </row>
    <row r="43" spans="1:104" x14ac:dyDescent="0.25">
      <c r="A43">
        <f t="shared" si="11"/>
        <v>0</v>
      </c>
      <c r="B43" t="s">
        <v>412</v>
      </c>
      <c r="C43" t="s">
        <v>412</v>
      </c>
      <c r="D43" t="s">
        <v>413</v>
      </c>
      <c r="E43" t="s">
        <v>414</v>
      </c>
      <c r="F43" t="s">
        <v>415</v>
      </c>
      <c r="G43" t="s">
        <v>416</v>
      </c>
      <c r="H43" t="s">
        <v>416</v>
      </c>
      <c r="I43">
        <v>12920</v>
      </c>
      <c r="J43" t="s">
        <v>287</v>
      </c>
      <c r="K43" t="s">
        <v>417</v>
      </c>
      <c r="L43" t="s">
        <v>418</v>
      </c>
      <c r="M43" t="s">
        <v>419</v>
      </c>
      <c r="N43" t="s">
        <v>90</v>
      </c>
      <c r="O43" t="s">
        <v>111</v>
      </c>
      <c r="P43" t="s">
        <v>291</v>
      </c>
      <c r="Q43">
        <v>4</v>
      </c>
      <c r="U43" t="s">
        <v>76</v>
      </c>
      <c r="V43" t="s">
        <v>292</v>
      </c>
      <c r="W43" t="s">
        <v>292</v>
      </c>
      <c r="X43">
        <v>1</v>
      </c>
      <c r="Y43">
        <v>1</v>
      </c>
      <c r="AC43">
        <v>42439</v>
      </c>
      <c r="AG43">
        <v>1</v>
      </c>
      <c r="AH43" t="s">
        <v>420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T43">
        <v>0</v>
      </c>
      <c r="AU43">
        <v>0</v>
      </c>
      <c r="AV43">
        <v>0</v>
      </c>
      <c r="AX43">
        <f t="shared" si="0"/>
        <v>0</v>
      </c>
      <c r="AY43">
        <v>6</v>
      </c>
      <c r="AZ43">
        <f t="shared" si="1"/>
        <v>0</v>
      </c>
      <c r="BA43">
        <f t="shared" si="2"/>
        <v>48</v>
      </c>
      <c r="BB43">
        <f t="shared" si="19"/>
        <v>0</v>
      </c>
      <c r="BC43">
        <f t="shared" si="12"/>
        <v>0</v>
      </c>
      <c r="BD43">
        <f t="shared" si="25"/>
        <v>0</v>
      </c>
      <c r="BE43">
        <f t="shared" si="25"/>
        <v>0</v>
      </c>
      <c r="BF43">
        <f t="shared" si="25"/>
        <v>0</v>
      </c>
      <c r="BG43">
        <f t="shared" si="25"/>
        <v>0</v>
      </c>
      <c r="BH43">
        <f t="shared" si="25"/>
        <v>0</v>
      </c>
      <c r="BI43">
        <f t="shared" si="25"/>
        <v>0</v>
      </c>
      <c r="BJ43">
        <f t="shared" si="25"/>
        <v>0</v>
      </c>
      <c r="BK43">
        <v>0</v>
      </c>
      <c r="BL43">
        <v>0</v>
      </c>
      <c r="BP43">
        <f t="shared" si="13"/>
        <v>0</v>
      </c>
      <c r="BQ43">
        <v>6</v>
      </c>
      <c r="BR43">
        <f t="shared" si="4"/>
        <v>0</v>
      </c>
      <c r="BS43">
        <f t="shared" si="5"/>
        <v>48</v>
      </c>
      <c r="BT43">
        <f t="shared" si="20"/>
        <v>0</v>
      </c>
      <c r="BU43">
        <f t="shared" si="14"/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H43">
        <f t="shared" si="15"/>
        <v>0</v>
      </c>
      <c r="CI43">
        <v>6</v>
      </c>
      <c r="CJ43">
        <f t="shared" si="23"/>
        <v>0</v>
      </c>
      <c r="CK43">
        <f t="shared" si="7"/>
        <v>48</v>
      </c>
      <c r="CL43">
        <f t="shared" si="21"/>
        <v>0</v>
      </c>
      <c r="CM43">
        <f t="shared" si="16"/>
        <v>0</v>
      </c>
      <c r="CU43">
        <f t="shared" si="17"/>
        <v>0</v>
      </c>
      <c r="CV43">
        <v>6</v>
      </c>
      <c r="CW43">
        <f t="shared" si="24"/>
        <v>0</v>
      </c>
      <c r="CX43">
        <f t="shared" si="10"/>
        <v>48</v>
      </c>
      <c r="CY43">
        <f t="shared" si="22"/>
        <v>0</v>
      </c>
      <c r="CZ43">
        <f t="shared" si="18"/>
        <v>0</v>
      </c>
    </row>
    <row r="44" spans="1:104" x14ac:dyDescent="0.25">
      <c r="A44">
        <f t="shared" si="11"/>
        <v>0</v>
      </c>
      <c r="B44" t="s">
        <v>421</v>
      </c>
      <c r="C44" t="s">
        <v>422</v>
      </c>
      <c r="D44" t="s">
        <v>423</v>
      </c>
      <c r="E44" t="s">
        <v>424</v>
      </c>
      <c r="F44" t="s">
        <v>425</v>
      </c>
      <c r="G44" t="s">
        <v>347</v>
      </c>
      <c r="H44" t="s">
        <v>347</v>
      </c>
      <c r="J44" t="s">
        <v>348</v>
      </c>
      <c r="K44" t="s">
        <v>426</v>
      </c>
      <c r="L44" t="s">
        <v>427</v>
      </c>
      <c r="M44" t="s">
        <v>428</v>
      </c>
      <c r="N44" t="s">
        <v>90</v>
      </c>
      <c r="O44" t="s">
        <v>74</v>
      </c>
      <c r="P44" t="s">
        <v>352</v>
      </c>
      <c r="Q44">
        <v>1.75</v>
      </c>
      <c r="T44">
        <v>0</v>
      </c>
      <c r="U44" t="s">
        <v>76</v>
      </c>
      <c r="V44" t="s">
        <v>353</v>
      </c>
      <c r="W44" t="s">
        <v>354</v>
      </c>
      <c r="X44">
        <v>1</v>
      </c>
      <c r="Y44">
        <v>1</v>
      </c>
      <c r="AC44">
        <v>42439</v>
      </c>
      <c r="AD44" t="s">
        <v>429</v>
      </c>
      <c r="AG44">
        <v>1</v>
      </c>
      <c r="AH44" t="s">
        <v>355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T44">
        <v>0</v>
      </c>
      <c r="AU44">
        <v>0</v>
      </c>
      <c r="AV44">
        <v>0</v>
      </c>
      <c r="AX44">
        <f t="shared" si="0"/>
        <v>0</v>
      </c>
      <c r="AY44">
        <v>6</v>
      </c>
      <c r="AZ44">
        <f t="shared" si="1"/>
        <v>0</v>
      </c>
      <c r="BA44">
        <f t="shared" si="2"/>
        <v>48</v>
      </c>
      <c r="BB44">
        <f t="shared" si="19"/>
        <v>0</v>
      </c>
      <c r="BC44">
        <f t="shared" si="12"/>
        <v>0</v>
      </c>
      <c r="BD44">
        <f t="shared" si="25"/>
        <v>0</v>
      </c>
      <c r="BE44">
        <f t="shared" si="25"/>
        <v>0</v>
      </c>
      <c r="BF44">
        <f t="shared" si="25"/>
        <v>0</v>
      </c>
      <c r="BG44">
        <f t="shared" si="25"/>
        <v>0</v>
      </c>
      <c r="BH44">
        <f t="shared" si="25"/>
        <v>0</v>
      </c>
      <c r="BI44">
        <f t="shared" si="25"/>
        <v>0</v>
      </c>
      <c r="BJ44">
        <f t="shared" si="25"/>
        <v>0</v>
      </c>
      <c r="BK44">
        <v>0</v>
      </c>
      <c r="BL44">
        <v>0</v>
      </c>
      <c r="BP44">
        <f t="shared" si="13"/>
        <v>0</v>
      </c>
      <c r="BQ44">
        <v>6</v>
      </c>
      <c r="BR44">
        <f t="shared" si="4"/>
        <v>0</v>
      </c>
      <c r="BS44">
        <f t="shared" si="5"/>
        <v>48</v>
      </c>
      <c r="BT44">
        <f t="shared" si="20"/>
        <v>0</v>
      </c>
      <c r="BU44">
        <f t="shared" si="14"/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H44">
        <f t="shared" si="15"/>
        <v>0</v>
      </c>
      <c r="CI44">
        <v>6</v>
      </c>
      <c r="CJ44">
        <f t="shared" si="23"/>
        <v>0</v>
      </c>
      <c r="CK44">
        <f t="shared" si="7"/>
        <v>48</v>
      </c>
      <c r="CL44">
        <f t="shared" si="21"/>
        <v>0</v>
      </c>
      <c r="CM44">
        <f t="shared" si="16"/>
        <v>0</v>
      </c>
      <c r="CU44">
        <f t="shared" si="17"/>
        <v>0</v>
      </c>
      <c r="CV44">
        <v>6</v>
      </c>
      <c r="CW44">
        <f t="shared" si="24"/>
        <v>0</v>
      </c>
      <c r="CX44">
        <f t="shared" si="10"/>
        <v>48</v>
      </c>
      <c r="CY44">
        <f t="shared" si="22"/>
        <v>0</v>
      </c>
      <c r="CZ44">
        <f t="shared" si="18"/>
        <v>0</v>
      </c>
    </row>
    <row r="45" spans="1:104" x14ac:dyDescent="0.25">
      <c r="A45">
        <f t="shared" si="11"/>
        <v>0</v>
      </c>
      <c r="B45" t="s">
        <v>430</v>
      </c>
      <c r="C45" t="s">
        <v>431</v>
      </c>
      <c r="D45" t="s">
        <v>432</v>
      </c>
      <c r="F45" t="s">
        <v>433</v>
      </c>
      <c r="G45" t="s">
        <v>434</v>
      </c>
      <c r="I45" t="s">
        <v>435</v>
      </c>
      <c r="J45" t="s">
        <v>141</v>
      </c>
      <c r="K45" t="s">
        <v>432</v>
      </c>
      <c r="L45" t="s">
        <v>436</v>
      </c>
      <c r="M45" t="s">
        <v>437</v>
      </c>
      <c r="N45" t="s">
        <v>90</v>
      </c>
      <c r="O45" t="s">
        <v>111</v>
      </c>
      <c r="P45" t="s">
        <v>438</v>
      </c>
      <c r="Q45">
        <v>4</v>
      </c>
      <c r="T45">
        <v>0</v>
      </c>
      <c r="U45" t="s">
        <v>76</v>
      </c>
      <c r="V45" t="s">
        <v>148</v>
      </c>
      <c r="W45" t="s">
        <v>439</v>
      </c>
      <c r="X45">
        <v>1</v>
      </c>
      <c r="Y45">
        <v>1</v>
      </c>
      <c r="AC45">
        <v>42439</v>
      </c>
      <c r="AG45">
        <v>1</v>
      </c>
      <c r="AH45" t="s">
        <v>149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T45">
        <v>0</v>
      </c>
      <c r="AU45">
        <v>0</v>
      </c>
      <c r="AV45">
        <v>0</v>
      </c>
      <c r="AX45">
        <f t="shared" si="0"/>
        <v>0</v>
      </c>
      <c r="AY45">
        <f>12*3+12</f>
        <v>48</v>
      </c>
      <c r="AZ45">
        <f t="shared" si="1"/>
        <v>0</v>
      </c>
      <c r="BA45">
        <f t="shared" si="2"/>
        <v>48</v>
      </c>
      <c r="BB45">
        <f t="shared" si="19"/>
        <v>0</v>
      </c>
      <c r="BC45">
        <f t="shared" si="12"/>
        <v>0</v>
      </c>
      <c r="BD45">
        <f t="shared" si="25"/>
        <v>0</v>
      </c>
      <c r="BE45">
        <f t="shared" si="25"/>
        <v>0</v>
      </c>
      <c r="BF45">
        <f t="shared" si="25"/>
        <v>0</v>
      </c>
      <c r="BG45">
        <f t="shared" si="25"/>
        <v>0</v>
      </c>
      <c r="BH45">
        <f t="shared" si="25"/>
        <v>0</v>
      </c>
      <c r="BI45">
        <f t="shared" si="25"/>
        <v>0</v>
      </c>
      <c r="BJ45">
        <f t="shared" si="25"/>
        <v>0</v>
      </c>
      <c r="BK45">
        <v>0</v>
      </c>
      <c r="BL45">
        <v>0</v>
      </c>
      <c r="BP45">
        <f t="shared" si="13"/>
        <v>0</v>
      </c>
      <c r="BQ45">
        <f>12*3+12</f>
        <v>48</v>
      </c>
      <c r="BR45">
        <f t="shared" si="4"/>
        <v>0</v>
      </c>
      <c r="BS45">
        <f t="shared" si="5"/>
        <v>48</v>
      </c>
      <c r="BT45">
        <f t="shared" si="20"/>
        <v>0</v>
      </c>
      <c r="BU45">
        <f t="shared" si="14"/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H45">
        <f t="shared" si="15"/>
        <v>0</v>
      </c>
      <c r="CI45">
        <f>12*3+12</f>
        <v>48</v>
      </c>
      <c r="CJ45">
        <f t="shared" si="23"/>
        <v>0</v>
      </c>
      <c r="CK45">
        <f t="shared" si="7"/>
        <v>48</v>
      </c>
      <c r="CL45">
        <f t="shared" si="21"/>
        <v>0</v>
      </c>
      <c r="CM45">
        <f t="shared" si="16"/>
        <v>0</v>
      </c>
      <c r="CU45">
        <f t="shared" si="17"/>
        <v>0</v>
      </c>
      <c r="CV45">
        <f>12*3+12</f>
        <v>48</v>
      </c>
      <c r="CW45">
        <f t="shared" si="24"/>
        <v>0</v>
      </c>
      <c r="CX45">
        <f t="shared" si="10"/>
        <v>48</v>
      </c>
      <c r="CY45">
        <f t="shared" si="22"/>
        <v>0</v>
      </c>
      <c r="CZ45">
        <f t="shared" si="18"/>
        <v>0</v>
      </c>
    </row>
    <row r="46" spans="1:104" x14ac:dyDescent="0.25">
      <c r="A46">
        <f t="shared" si="11"/>
        <v>0</v>
      </c>
      <c r="B46" t="s">
        <v>440</v>
      </c>
      <c r="C46" t="s">
        <v>441</v>
      </c>
      <c r="D46" t="s">
        <v>442</v>
      </c>
      <c r="E46" t="s">
        <v>443</v>
      </c>
      <c r="F46" t="s">
        <v>444</v>
      </c>
      <c r="G46" t="s">
        <v>445</v>
      </c>
      <c r="J46" t="s">
        <v>446</v>
      </c>
      <c r="K46" t="s">
        <v>447</v>
      </c>
      <c r="L46" t="s">
        <v>448</v>
      </c>
      <c r="N46" t="s">
        <v>90</v>
      </c>
      <c r="O46" t="s">
        <v>111</v>
      </c>
      <c r="P46" t="s">
        <v>449</v>
      </c>
      <c r="Q46">
        <v>3.5</v>
      </c>
      <c r="U46" t="s">
        <v>76</v>
      </c>
      <c r="V46" t="s">
        <v>450</v>
      </c>
      <c r="W46" t="s">
        <v>440</v>
      </c>
      <c r="X46">
        <v>1</v>
      </c>
      <c r="Y46">
        <v>1</v>
      </c>
      <c r="AC46">
        <v>42439</v>
      </c>
      <c r="AG46">
        <v>1</v>
      </c>
      <c r="AH46" t="s">
        <v>79</v>
      </c>
      <c r="BJ46">
        <f t="shared" si="25"/>
        <v>0</v>
      </c>
      <c r="CV46">
        <f>SUM(CV4:CV45)</f>
        <v>298</v>
      </c>
      <c r="CW46">
        <f>SUM(CW4:CW45)</f>
        <v>5420</v>
      </c>
      <c r="CX46">
        <f>SUM(CX4:CX45)</f>
        <v>2016</v>
      </c>
      <c r="CY46">
        <f>SUM(CY4:CY45)</f>
        <v>114480</v>
      </c>
      <c r="CZ46">
        <f>SUM(CZ4:CZ45)</f>
        <v>1144800</v>
      </c>
    </row>
    <row r="47" spans="1:104" x14ac:dyDescent="0.25">
      <c r="A47">
        <f t="shared" si="11"/>
        <v>0</v>
      </c>
      <c r="B47" t="s">
        <v>451</v>
      </c>
      <c r="C47" t="s">
        <v>452</v>
      </c>
      <c r="D47" t="s">
        <v>453</v>
      </c>
      <c r="E47" t="s">
        <v>454</v>
      </c>
      <c r="G47" t="s">
        <v>455</v>
      </c>
      <c r="H47" t="s">
        <v>456</v>
      </c>
      <c r="J47" t="s">
        <v>457</v>
      </c>
      <c r="K47" t="s">
        <v>458</v>
      </c>
      <c r="L47" t="s">
        <v>459</v>
      </c>
      <c r="N47" t="s">
        <v>90</v>
      </c>
      <c r="O47" t="s">
        <v>111</v>
      </c>
      <c r="P47" t="s">
        <v>460</v>
      </c>
      <c r="Q47">
        <v>3</v>
      </c>
      <c r="U47" t="s">
        <v>386</v>
      </c>
      <c r="V47" t="s">
        <v>461</v>
      </c>
      <c r="W47" t="s">
        <v>451</v>
      </c>
      <c r="X47">
        <v>1</v>
      </c>
      <c r="Y47">
        <v>1</v>
      </c>
      <c r="AC47">
        <v>42439</v>
      </c>
      <c r="AG47">
        <v>1</v>
      </c>
      <c r="AH47" t="s">
        <v>462</v>
      </c>
      <c r="BJ47">
        <f t="shared" si="25"/>
        <v>0</v>
      </c>
    </row>
    <row r="48" spans="1:104" x14ac:dyDescent="0.25">
      <c r="A48">
        <f t="shared" si="11"/>
        <v>0</v>
      </c>
      <c r="B48" t="s">
        <v>100</v>
      </c>
      <c r="C48" t="s">
        <v>463</v>
      </c>
      <c r="D48" t="s">
        <v>464</v>
      </c>
      <c r="E48" t="s">
        <v>465</v>
      </c>
      <c r="F48" t="s">
        <v>466</v>
      </c>
      <c r="G48" t="s">
        <v>96</v>
      </c>
      <c r="I48">
        <v>54200</v>
      </c>
      <c r="J48" t="s">
        <v>107</v>
      </c>
      <c r="K48" t="s">
        <v>467</v>
      </c>
      <c r="L48" t="s">
        <v>468</v>
      </c>
      <c r="N48" t="s">
        <v>90</v>
      </c>
      <c r="Q48">
        <v>1.5</v>
      </c>
      <c r="T48">
        <v>0</v>
      </c>
      <c r="U48" t="s">
        <v>76</v>
      </c>
      <c r="X48">
        <v>1</v>
      </c>
      <c r="Y48">
        <v>1</v>
      </c>
      <c r="AC48">
        <v>42439</v>
      </c>
      <c r="AG48">
        <v>1</v>
      </c>
      <c r="AH48" t="s">
        <v>79</v>
      </c>
      <c r="BJ48">
        <f t="shared" si="25"/>
        <v>0</v>
      </c>
    </row>
    <row r="49" spans="1:91" x14ac:dyDescent="0.25">
      <c r="A49">
        <f t="shared" si="11"/>
        <v>0</v>
      </c>
      <c r="B49" t="s">
        <v>469</v>
      </c>
      <c r="C49" t="s">
        <v>470</v>
      </c>
      <c r="D49" t="s">
        <v>471</v>
      </c>
      <c r="E49" t="s">
        <v>472</v>
      </c>
      <c r="F49" t="s">
        <v>473</v>
      </c>
      <c r="G49" t="s">
        <v>474</v>
      </c>
      <c r="H49" t="s">
        <v>475</v>
      </c>
      <c r="I49">
        <v>93050</v>
      </c>
      <c r="J49" t="s">
        <v>107</v>
      </c>
      <c r="K49" t="s">
        <v>476</v>
      </c>
      <c r="L49" t="s">
        <v>477</v>
      </c>
      <c r="N49" t="s">
        <v>90</v>
      </c>
      <c r="Q49">
        <v>1.5</v>
      </c>
      <c r="T49">
        <v>0</v>
      </c>
      <c r="U49" t="s">
        <v>76</v>
      </c>
      <c r="X49">
        <v>1</v>
      </c>
      <c r="Y49">
        <v>1</v>
      </c>
      <c r="AC49">
        <v>42439</v>
      </c>
      <c r="AG49">
        <v>1</v>
      </c>
      <c r="AH49" t="s">
        <v>79</v>
      </c>
      <c r="BJ49">
        <f t="shared" si="25"/>
        <v>0</v>
      </c>
    </row>
    <row r="50" spans="1:91" x14ac:dyDescent="0.25">
      <c r="A50">
        <f t="shared" si="11"/>
        <v>0</v>
      </c>
      <c r="B50" t="s">
        <v>478</v>
      </c>
      <c r="C50" t="s">
        <v>479</v>
      </c>
      <c r="D50" t="s">
        <v>479</v>
      </c>
      <c r="E50" t="s">
        <v>480</v>
      </c>
      <c r="F50" t="s">
        <v>481</v>
      </c>
      <c r="G50" t="s">
        <v>482</v>
      </c>
      <c r="H50" t="s">
        <v>483</v>
      </c>
      <c r="I50">
        <v>47301</v>
      </c>
      <c r="J50" t="s">
        <v>107</v>
      </c>
      <c r="K50" t="s">
        <v>484</v>
      </c>
      <c r="L50" t="s">
        <v>485</v>
      </c>
      <c r="M50" t="s">
        <v>486</v>
      </c>
      <c r="N50" t="s">
        <v>90</v>
      </c>
      <c r="O50" t="s">
        <v>74</v>
      </c>
      <c r="P50" t="s">
        <v>75</v>
      </c>
      <c r="Q50">
        <v>1.75</v>
      </c>
      <c r="T50">
        <v>0</v>
      </c>
      <c r="U50" t="s">
        <v>76</v>
      </c>
      <c r="V50" t="s">
        <v>77</v>
      </c>
      <c r="W50" t="s">
        <v>78</v>
      </c>
      <c r="X50">
        <v>1</v>
      </c>
      <c r="Y50">
        <v>1</v>
      </c>
      <c r="AC50">
        <v>42439</v>
      </c>
      <c r="AG50">
        <v>1</v>
      </c>
      <c r="AH50" t="s">
        <v>79</v>
      </c>
      <c r="BJ50">
        <f t="shared" si="25"/>
        <v>0</v>
      </c>
    </row>
    <row r="51" spans="1:91" x14ac:dyDescent="0.25">
      <c r="A51">
        <f t="shared" si="11"/>
        <v>0</v>
      </c>
      <c r="B51" t="s">
        <v>487</v>
      </c>
      <c r="C51" t="s">
        <v>488</v>
      </c>
      <c r="D51" t="s">
        <v>489</v>
      </c>
      <c r="E51" t="s">
        <v>490</v>
      </c>
      <c r="F51" t="s">
        <v>491</v>
      </c>
      <c r="G51" t="s">
        <v>492</v>
      </c>
      <c r="H51" t="s">
        <v>492</v>
      </c>
      <c r="J51" t="s">
        <v>493</v>
      </c>
      <c r="K51" t="s">
        <v>494</v>
      </c>
      <c r="L51" t="s">
        <v>495</v>
      </c>
      <c r="M51" t="s">
        <v>496</v>
      </c>
      <c r="N51" t="s">
        <v>340</v>
      </c>
      <c r="O51" t="s">
        <v>111</v>
      </c>
      <c r="P51" t="s">
        <v>497</v>
      </c>
      <c r="Q51">
        <v>7</v>
      </c>
      <c r="U51" t="s">
        <v>76</v>
      </c>
      <c r="V51" t="s">
        <v>498</v>
      </c>
      <c r="W51" t="s">
        <v>487</v>
      </c>
      <c r="X51">
        <v>1</v>
      </c>
      <c r="Y51">
        <v>1</v>
      </c>
      <c r="AC51">
        <v>42439</v>
      </c>
      <c r="AG51">
        <v>1</v>
      </c>
      <c r="AH51" t="s">
        <v>79</v>
      </c>
      <c r="BJ51">
        <f t="shared" si="25"/>
        <v>0</v>
      </c>
    </row>
    <row r="52" spans="1:91" x14ac:dyDescent="0.25">
      <c r="A52">
        <f t="shared" si="11"/>
        <v>0</v>
      </c>
      <c r="B52" t="s">
        <v>499</v>
      </c>
      <c r="C52" t="s">
        <v>500</v>
      </c>
      <c r="D52" t="s">
        <v>501</v>
      </c>
      <c r="E52" t="s">
        <v>502</v>
      </c>
      <c r="G52" t="s">
        <v>503</v>
      </c>
      <c r="J52" t="s">
        <v>504</v>
      </c>
      <c r="K52" t="s">
        <v>505</v>
      </c>
      <c r="L52" t="s">
        <v>506</v>
      </c>
      <c r="M52" t="s">
        <v>507</v>
      </c>
      <c r="N52" t="s">
        <v>340</v>
      </c>
      <c r="O52" t="s">
        <v>111</v>
      </c>
      <c r="P52" t="s">
        <v>508</v>
      </c>
      <c r="Q52">
        <v>4</v>
      </c>
      <c r="T52">
        <v>0</v>
      </c>
      <c r="U52" t="s">
        <v>386</v>
      </c>
      <c r="V52" t="s">
        <v>509</v>
      </c>
      <c r="W52" t="s">
        <v>510</v>
      </c>
      <c r="X52">
        <v>1</v>
      </c>
      <c r="Y52">
        <v>1</v>
      </c>
      <c r="AC52">
        <v>42439</v>
      </c>
      <c r="AG52">
        <v>1</v>
      </c>
      <c r="AH52" t="s">
        <v>79</v>
      </c>
      <c r="BJ52">
        <f t="shared" si="25"/>
        <v>0</v>
      </c>
    </row>
    <row r="53" spans="1:91" x14ac:dyDescent="0.25">
      <c r="AI53">
        <f t="shared" ref="AI53:AN53" si="40">SUM(AI4:AI52)</f>
        <v>865</v>
      </c>
      <c r="AJ53">
        <f t="shared" si="40"/>
        <v>2175</v>
      </c>
      <c r="AK53">
        <f t="shared" si="40"/>
        <v>850</v>
      </c>
      <c r="AL53">
        <f t="shared" si="40"/>
        <v>420</v>
      </c>
      <c r="AM53">
        <f t="shared" si="40"/>
        <v>840</v>
      </c>
      <c r="AN53">
        <f t="shared" si="40"/>
        <v>500</v>
      </c>
      <c r="AO53">
        <f>SUM(AO4:AO52)</f>
        <v>490</v>
      </c>
      <c r="AP53">
        <f>SUM(AP4:AP52)</f>
        <v>490</v>
      </c>
      <c r="AQ53">
        <f>SUM(AQ4:AQ52)</f>
        <v>490</v>
      </c>
      <c r="AT53">
        <f>SUM(AT4:AT52)</f>
        <v>490</v>
      </c>
      <c r="AU53">
        <f>SUM(AU4:AU52)</f>
        <v>490</v>
      </c>
      <c r="AV53">
        <f>SUM(AV4:AV52)</f>
        <v>490</v>
      </c>
      <c r="AY53">
        <f>SUM(AY4:AY52)</f>
        <v>294</v>
      </c>
      <c r="AZ53">
        <f>SUM(AZ4:AZ52)</f>
        <v>25860</v>
      </c>
      <c r="BA53">
        <f>SUM(BA4:BA52)</f>
        <v>2016</v>
      </c>
      <c r="BB53">
        <f>SUM(BB4:BB52)</f>
        <v>206880</v>
      </c>
      <c r="BC53">
        <f>SUM(BC4:BC52)</f>
        <v>2068800</v>
      </c>
      <c r="BD53">
        <f t="shared" ref="BD53:BI53" si="41">SUM(BD4:BD52)</f>
        <v>435</v>
      </c>
      <c r="BE53">
        <f t="shared" si="41"/>
        <v>1090</v>
      </c>
      <c r="BF53">
        <f t="shared" si="41"/>
        <v>425</v>
      </c>
      <c r="BG53">
        <f t="shared" si="41"/>
        <v>210</v>
      </c>
      <c r="BH53">
        <f t="shared" si="41"/>
        <v>420</v>
      </c>
      <c r="BI53">
        <f t="shared" si="41"/>
        <v>250</v>
      </c>
      <c r="BJ53">
        <f>SUM(BJ4:BJ52)</f>
        <v>245</v>
      </c>
      <c r="BK53">
        <f>SUM(BK4:BK52)</f>
        <v>480</v>
      </c>
      <c r="BL53">
        <f>SUM(BL4:BL52)</f>
        <v>480</v>
      </c>
      <c r="BQ53">
        <f t="shared" ref="BQ53:CD53" si="42">SUM(BQ4:BQ52)</f>
        <v>294</v>
      </c>
      <c r="BR53">
        <f t="shared" si="42"/>
        <v>12960</v>
      </c>
      <c r="BS53">
        <f t="shared" si="42"/>
        <v>2016</v>
      </c>
      <c r="BT53">
        <f t="shared" si="42"/>
        <v>103680</v>
      </c>
      <c r="BU53">
        <f t="shared" si="42"/>
        <v>1036800</v>
      </c>
      <c r="BV53">
        <f t="shared" si="42"/>
        <v>865</v>
      </c>
      <c r="BW53">
        <f t="shared" si="42"/>
        <v>2165</v>
      </c>
      <c r="BX53">
        <f t="shared" si="42"/>
        <v>835</v>
      </c>
      <c r="BY53">
        <f t="shared" si="42"/>
        <v>420</v>
      </c>
      <c r="BZ53">
        <f t="shared" si="42"/>
        <v>485</v>
      </c>
      <c r="CA53">
        <f t="shared" si="42"/>
        <v>465</v>
      </c>
      <c r="CB53">
        <f t="shared" si="42"/>
        <v>480</v>
      </c>
      <c r="CC53">
        <f t="shared" si="42"/>
        <v>480</v>
      </c>
      <c r="CD53">
        <f t="shared" si="42"/>
        <v>480</v>
      </c>
      <c r="CG53">
        <f t="shared" ref="CG53:CM53" si="43">SUM(CG4:CG52)</f>
        <v>31</v>
      </c>
      <c r="CH53">
        <f t="shared" si="43"/>
        <v>4285</v>
      </c>
      <c r="CI53">
        <f t="shared" si="43"/>
        <v>298</v>
      </c>
      <c r="CJ53">
        <f t="shared" si="43"/>
        <v>10490</v>
      </c>
      <c r="CK53">
        <f t="shared" si="43"/>
        <v>2016</v>
      </c>
      <c r="CL53">
        <f t="shared" si="43"/>
        <v>205680</v>
      </c>
      <c r="CM53">
        <f t="shared" si="43"/>
        <v>2056800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 Dalbani</dc:creator>
  <cp:lastModifiedBy>Nader Dalbani</cp:lastModifiedBy>
  <dcterms:created xsi:type="dcterms:W3CDTF">2019-04-17T07:19:05Z</dcterms:created>
  <dcterms:modified xsi:type="dcterms:W3CDTF">2019-04-17T07:20:21Z</dcterms:modified>
</cp:coreProperties>
</file>